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llifabio\senai2025\office\excel\Aula 01\"/>
    </mc:Choice>
  </mc:AlternateContent>
  <xr:revisionPtr revIDLastSave="0" documentId="13_ncr:1_{80BEED45-F968-43CA-98F7-08C7FE629C97}" xr6:coauthVersionLast="47" xr6:coauthVersionMax="47" xr10:uidLastSave="{00000000-0000-0000-0000-000000000000}"/>
  <bookViews>
    <workbookView xWindow="-120" yWindow="-120" windowWidth="29040" windowHeight="15720" activeTab="2" xr2:uid="{DF9A80CB-2D36-417E-9557-3C94178D6509}"/>
  </bookViews>
  <sheets>
    <sheet name="Exemplo-Churras" sheetId="1" r:id="rId1"/>
    <sheet name="Notas" sheetId="3" r:id="rId2"/>
    <sheet name="Empreendiment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4" i="2"/>
  <c r="D7" i="2"/>
  <c r="D8" i="2"/>
  <c r="D9" i="2"/>
  <c r="D10" i="2"/>
  <c r="D11" i="2"/>
  <c r="D12" i="2"/>
  <c r="D13" i="2"/>
  <c r="D6" i="2"/>
  <c r="D5" i="2"/>
  <c r="D4" i="2"/>
  <c r="H11" i="3"/>
  <c r="H13" i="3"/>
</calcChain>
</file>

<file path=xl/sharedStrings.xml><?xml version="1.0" encoding="utf-8"?>
<sst xmlns="http://schemas.openxmlformats.org/spreadsheetml/2006/main" count="56" uniqueCount="55">
  <si>
    <t>Item</t>
  </si>
  <si>
    <t>Quantidade</t>
  </si>
  <si>
    <t>Preço Unitário</t>
  </si>
  <si>
    <t>Custo Total (R$)</t>
  </si>
  <si>
    <t>Desconto (R$)</t>
  </si>
  <si>
    <t>Custo Final (R$)</t>
  </si>
  <si>
    <t>Orçamento Inicial (R$)</t>
  </si>
  <si>
    <t>Diferença Orçamento - Custo</t>
  </si>
  <si>
    <t>Carne (kg)</t>
  </si>
  <si>
    <t>Pão de alho</t>
  </si>
  <si>
    <t>Cerveja (l)</t>
  </si>
  <si>
    <t>Refrigerante (l)</t>
  </si>
  <si>
    <t>Salada</t>
  </si>
  <si>
    <t>Carvão (kg)</t>
  </si>
  <si>
    <t>Utensílios (kit)</t>
  </si>
  <si>
    <t>Sobremesas (doces)</t>
  </si>
  <si>
    <t>Gelo (saco)</t>
  </si>
  <si>
    <t>O Brás em Jaguariúna</t>
  </si>
  <si>
    <t>Produto</t>
  </si>
  <si>
    <t>Custo unitário</t>
  </si>
  <si>
    <t>Investimento</t>
  </si>
  <si>
    <t>Cueca</t>
  </si>
  <si>
    <t>Calça masculina</t>
  </si>
  <si>
    <t>Camiseta masculina</t>
  </si>
  <si>
    <t>Bermuda masculina</t>
  </si>
  <si>
    <t>Meia masculina</t>
  </si>
  <si>
    <t>Camiseta feminina</t>
  </si>
  <si>
    <t>Bermuda feminina</t>
  </si>
  <si>
    <t>Calça feminina</t>
  </si>
  <si>
    <t>Meia feminina</t>
  </si>
  <si>
    <t>Margem</t>
  </si>
  <si>
    <t>Custo total</t>
  </si>
  <si>
    <t>Preço unitário</t>
  </si>
  <si>
    <t>Qtd. Vendida</t>
  </si>
  <si>
    <t>Qtd. comprada</t>
  </si>
  <si>
    <t>Faturamento</t>
  </si>
  <si>
    <t>Lucro R$</t>
  </si>
  <si>
    <t>Lingerie</t>
  </si>
  <si>
    <t>Médias dos alunos de Matemática</t>
  </si>
  <si>
    <t>Aluno</t>
  </si>
  <si>
    <t>Joãozinho</t>
  </si>
  <si>
    <t>Pedrinho</t>
  </si>
  <si>
    <t>Aninha</t>
  </si>
  <si>
    <t>Mariazinha</t>
  </si>
  <si>
    <t>Terezinha</t>
  </si>
  <si>
    <t>Fabianinha</t>
  </si>
  <si>
    <t>Huguinho</t>
  </si>
  <si>
    <t>Zézinho</t>
  </si>
  <si>
    <t>Luizinho</t>
  </si>
  <si>
    <t>Prova 1</t>
  </si>
  <si>
    <t>Prova 2</t>
  </si>
  <si>
    <t>Prova 3</t>
  </si>
  <si>
    <t>Média da sala</t>
  </si>
  <si>
    <t>Médias</t>
  </si>
  <si>
    <t>Conceito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</si>
</sst>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8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44" fontId="4" fillId="0" borderId="1" xfId="1" applyFont="1" applyBorder="1"/>
    <xf numFmtId="0" fontId="4" fillId="0" borderId="0" xfId="0" applyFont="1"/>
    <xf numFmtId="0" fontId="0" fillId="0" borderId="1" xfId="0" applyBorder="1" applyAlignment="1">
      <alignment horizontal="center"/>
    </xf>
    <xf numFmtId="9" fontId="2" fillId="0" borderId="1" xfId="0" applyNumberFormat="1" applyFont="1" applyBorder="1"/>
    <xf numFmtId="168" fontId="2" fillId="0" borderId="1" xfId="1" applyNumberFormat="1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0" fillId="0" borderId="1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0E97-E3C3-4BF5-8F00-739EA840164D}">
  <dimension ref="A1:H10"/>
  <sheetViews>
    <sheetView zoomScale="160" zoomScaleNormal="160" workbookViewId="0">
      <selection activeCell="F2" sqref="F2"/>
    </sheetView>
  </sheetViews>
  <sheetFormatPr defaultRowHeight="18.75" x14ac:dyDescent="0.3"/>
  <cols>
    <col min="1" max="1" width="24" style="7" bestFit="1" customWidth="1"/>
    <col min="2" max="2" width="14.5703125" style="7" bestFit="1" customWidth="1"/>
    <col min="3" max="3" width="17.28515625" style="7" bestFit="1" customWidth="1"/>
    <col min="4" max="4" width="19.42578125" style="7" bestFit="1" customWidth="1"/>
    <col min="5" max="5" width="17.5703125" style="7" bestFit="1" customWidth="1"/>
    <col min="6" max="6" width="19.28515625" style="7" bestFit="1" customWidth="1"/>
    <col min="7" max="7" width="26.85546875" style="7" bestFit="1" customWidth="1"/>
    <col min="8" max="8" width="34.5703125" style="7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5" t="s">
        <v>8</v>
      </c>
      <c r="B2" s="5">
        <v>10</v>
      </c>
      <c r="C2" s="6">
        <v>80</v>
      </c>
      <c r="D2" s="5"/>
      <c r="E2" s="6">
        <v>20</v>
      </c>
      <c r="F2" s="6"/>
      <c r="G2" s="5"/>
      <c r="H2" s="5"/>
    </row>
    <row r="3" spans="1:8" x14ac:dyDescent="0.3">
      <c r="A3" s="5" t="s">
        <v>9</v>
      </c>
      <c r="B3" s="5">
        <v>5</v>
      </c>
      <c r="C3" s="6">
        <v>7</v>
      </c>
      <c r="D3" s="5"/>
      <c r="E3" s="6">
        <v>5</v>
      </c>
      <c r="F3" s="6"/>
      <c r="G3" s="5"/>
      <c r="H3" s="5"/>
    </row>
    <row r="4" spans="1:8" x14ac:dyDescent="0.3">
      <c r="A4" s="5" t="s">
        <v>10</v>
      </c>
      <c r="B4" s="5">
        <v>12</v>
      </c>
      <c r="C4" s="6">
        <v>4.5</v>
      </c>
      <c r="D4" s="5"/>
      <c r="E4" s="6">
        <v>0</v>
      </c>
      <c r="F4" s="6"/>
      <c r="G4" s="5"/>
      <c r="H4" s="5"/>
    </row>
    <row r="5" spans="1:8" x14ac:dyDescent="0.3">
      <c r="A5" s="5" t="s">
        <v>11</v>
      </c>
      <c r="B5" s="5">
        <v>8</v>
      </c>
      <c r="C5" s="6">
        <v>8</v>
      </c>
      <c r="D5" s="5"/>
      <c r="E5" s="6">
        <v>4</v>
      </c>
      <c r="F5" s="6"/>
      <c r="G5" s="5"/>
      <c r="H5" s="5"/>
    </row>
    <row r="6" spans="1:8" x14ac:dyDescent="0.3">
      <c r="A6" s="5" t="s">
        <v>12</v>
      </c>
      <c r="B6" s="5">
        <v>2</v>
      </c>
      <c r="C6" s="6">
        <v>10</v>
      </c>
      <c r="D6" s="5"/>
      <c r="E6" s="6">
        <v>0</v>
      </c>
      <c r="F6" s="6"/>
      <c r="G6" s="5"/>
      <c r="H6" s="5"/>
    </row>
    <row r="7" spans="1:8" x14ac:dyDescent="0.3">
      <c r="A7" s="5" t="s">
        <v>13</v>
      </c>
      <c r="B7" s="5">
        <v>5</v>
      </c>
      <c r="C7" s="6">
        <v>15</v>
      </c>
      <c r="D7" s="5"/>
      <c r="E7" s="6">
        <v>0</v>
      </c>
      <c r="F7" s="6"/>
      <c r="G7" s="5"/>
      <c r="H7" s="5"/>
    </row>
    <row r="8" spans="1:8" x14ac:dyDescent="0.3">
      <c r="A8" s="5" t="s">
        <v>14</v>
      </c>
      <c r="B8" s="5">
        <v>1</v>
      </c>
      <c r="C8" s="6">
        <v>40</v>
      </c>
      <c r="D8" s="5"/>
      <c r="E8" s="6">
        <v>0</v>
      </c>
      <c r="F8" s="6"/>
      <c r="G8" s="5"/>
      <c r="H8" s="5"/>
    </row>
    <row r="9" spans="1:8" x14ac:dyDescent="0.3">
      <c r="A9" s="5" t="s">
        <v>15</v>
      </c>
      <c r="B9" s="5">
        <v>3</v>
      </c>
      <c r="C9" s="6">
        <v>12</v>
      </c>
      <c r="D9" s="5"/>
      <c r="E9" s="6">
        <v>6</v>
      </c>
      <c r="F9" s="6"/>
      <c r="G9" s="5"/>
      <c r="H9" s="5"/>
    </row>
    <row r="10" spans="1:8" x14ac:dyDescent="0.3">
      <c r="A10" s="5" t="s">
        <v>16</v>
      </c>
      <c r="B10" s="5">
        <v>4</v>
      </c>
      <c r="C10" s="6">
        <v>8</v>
      </c>
      <c r="D10" s="5"/>
      <c r="E10" s="6">
        <v>0</v>
      </c>
      <c r="F10" s="6"/>
      <c r="G10" s="5"/>
      <c r="H10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478F-EFC0-44FE-8549-BE750357594C}">
  <dimension ref="A1:H13"/>
  <sheetViews>
    <sheetView zoomScale="175" zoomScaleNormal="175" workbookViewId="0">
      <selection activeCell="H12" sqref="H12"/>
    </sheetView>
  </sheetViews>
  <sheetFormatPr defaultColWidth="14.5703125" defaultRowHeight="15" x14ac:dyDescent="0.25"/>
  <cols>
    <col min="1" max="1" width="16.42578125" customWidth="1"/>
  </cols>
  <sheetData>
    <row r="1" spans="1:8" ht="21" x14ac:dyDescent="0.35">
      <c r="A1" s="14" t="s">
        <v>38</v>
      </c>
      <c r="B1" s="14"/>
      <c r="C1" s="14"/>
      <c r="D1" s="14"/>
      <c r="E1" s="14"/>
      <c r="F1" s="14"/>
    </row>
    <row r="2" spans="1:8" x14ac:dyDescent="0.25">
      <c r="A2" s="3" t="s">
        <v>39</v>
      </c>
      <c r="B2" s="3" t="s">
        <v>49</v>
      </c>
      <c r="C2" s="3" t="s">
        <v>50</v>
      </c>
      <c r="D2" s="3" t="s">
        <v>51</v>
      </c>
      <c r="E2" s="3" t="s">
        <v>53</v>
      </c>
      <c r="F2" s="3" t="s">
        <v>54</v>
      </c>
    </row>
    <row r="3" spans="1:8" x14ac:dyDescent="0.25">
      <c r="A3" s="1" t="s">
        <v>40</v>
      </c>
      <c r="B3" s="1">
        <v>2</v>
      </c>
      <c r="C3" s="1">
        <v>2</v>
      </c>
      <c r="D3" s="1">
        <v>9</v>
      </c>
      <c r="E3" s="1"/>
      <c r="F3" s="1"/>
    </row>
    <row r="4" spans="1:8" x14ac:dyDescent="0.25">
      <c r="A4" s="1" t="s">
        <v>41</v>
      </c>
      <c r="B4" s="1">
        <v>8</v>
      </c>
      <c r="C4" s="1">
        <v>5</v>
      </c>
      <c r="D4" s="1">
        <v>8</v>
      </c>
      <c r="E4" s="1"/>
      <c r="F4" s="1"/>
    </row>
    <row r="5" spans="1:8" x14ac:dyDescent="0.25">
      <c r="A5" s="1" t="s">
        <v>42</v>
      </c>
      <c r="B5" s="1">
        <v>1</v>
      </c>
      <c r="C5" s="1">
        <v>7</v>
      </c>
      <c r="D5" s="1">
        <v>9</v>
      </c>
      <c r="E5" s="1"/>
      <c r="F5" s="1"/>
    </row>
    <row r="6" spans="1:8" x14ac:dyDescent="0.25">
      <c r="A6" s="1" t="s">
        <v>43</v>
      </c>
      <c r="B6" s="1">
        <v>8</v>
      </c>
      <c r="C6" s="1">
        <v>5</v>
      </c>
      <c r="D6" s="1">
        <v>4</v>
      </c>
      <c r="E6" s="1"/>
      <c r="F6" s="1"/>
    </row>
    <row r="7" spans="1:8" x14ac:dyDescent="0.25">
      <c r="A7" s="1" t="s">
        <v>44</v>
      </c>
      <c r="B7" s="1">
        <v>6</v>
      </c>
      <c r="C7" s="1">
        <v>3</v>
      </c>
      <c r="D7" s="1">
        <v>2</v>
      </c>
      <c r="E7" s="1"/>
      <c r="F7" s="1"/>
    </row>
    <row r="8" spans="1:8" x14ac:dyDescent="0.25">
      <c r="A8" s="1" t="s">
        <v>45</v>
      </c>
      <c r="B8" s="1">
        <v>9</v>
      </c>
      <c r="C8" s="1">
        <v>5</v>
      </c>
      <c r="D8" s="1">
        <v>5</v>
      </c>
      <c r="E8" s="1"/>
      <c r="F8" s="1"/>
    </row>
    <row r="9" spans="1:8" x14ac:dyDescent="0.25">
      <c r="A9" s="1" t="s">
        <v>46</v>
      </c>
      <c r="B9" s="1">
        <v>4</v>
      </c>
      <c r="C9" s="1">
        <v>10</v>
      </c>
      <c r="D9" s="1">
        <v>6</v>
      </c>
      <c r="E9" s="1"/>
      <c r="F9" s="1"/>
    </row>
    <row r="10" spans="1:8" x14ac:dyDescent="0.25">
      <c r="A10" s="1" t="s">
        <v>47</v>
      </c>
      <c r="B10" s="1">
        <v>7</v>
      </c>
      <c r="C10" s="1">
        <v>10</v>
      </c>
      <c r="D10" s="1">
        <v>1</v>
      </c>
      <c r="E10" s="1"/>
      <c r="F10" s="1"/>
    </row>
    <row r="11" spans="1:8" x14ac:dyDescent="0.25">
      <c r="A11" s="1" t="s">
        <v>48</v>
      </c>
      <c r="B11" s="1">
        <v>2</v>
      </c>
      <c r="C11" s="1">
        <v>10</v>
      </c>
      <c r="D11" s="1">
        <v>4</v>
      </c>
      <c r="E11" s="1"/>
      <c r="F11" s="1"/>
      <c r="H11">
        <f>0.035</f>
        <v>3.5000000000000003E-2</v>
      </c>
    </row>
    <row r="12" spans="1:8" x14ac:dyDescent="0.25">
      <c r="A12" s="1"/>
      <c r="B12" s="15" t="s">
        <v>52</v>
      </c>
      <c r="C12" s="15"/>
      <c r="D12" s="15"/>
      <c r="E12" s="1"/>
      <c r="F12" s="1"/>
      <c r="H12">
        <v>130</v>
      </c>
    </row>
    <row r="13" spans="1:8" x14ac:dyDescent="0.25">
      <c r="H13">
        <f>H12*H11</f>
        <v>4.5500000000000007</v>
      </c>
    </row>
  </sheetData>
  <mergeCells count="2">
    <mergeCell ref="B12:D12"/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87A6-8BCC-4A9C-A55D-42078DBC435E}">
  <dimension ref="A1:H14"/>
  <sheetViews>
    <sheetView tabSelected="1" zoomScale="235" zoomScaleNormal="235" workbookViewId="0">
      <selection activeCell="E11" sqref="E11"/>
    </sheetView>
  </sheetViews>
  <sheetFormatPr defaultRowHeight="15" x14ac:dyDescent="0.25"/>
  <cols>
    <col min="1" max="1" width="20.5703125" bestFit="1" customWidth="1"/>
    <col min="2" max="2" width="15" bestFit="1" customWidth="1"/>
    <col min="3" max="3" width="14.42578125" bestFit="1" customWidth="1"/>
    <col min="4" max="4" width="12.140625" bestFit="1" customWidth="1"/>
    <col min="5" max="5" width="13.5703125" bestFit="1" customWidth="1"/>
    <col min="6" max="6" width="12.42578125" bestFit="1" customWidth="1"/>
    <col min="7" max="7" width="12.28515625" bestFit="1" customWidth="1"/>
    <col min="8" max="8" width="12.140625" customWidth="1"/>
  </cols>
  <sheetData>
    <row r="1" spans="1:8" x14ac:dyDescent="0.25">
      <c r="A1" s="8" t="s">
        <v>17</v>
      </c>
      <c r="B1" s="8"/>
      <c r="C1" s="8"/>
      <c r="D1" s="8"/>
      <c r="E1" s="8"/>
      <c r="F1" s="8"/>
      <c r="G1" s="8"/>
      <c r="H1" s="8"/>
    </row>
    <row r="2" spans="1:8" x14ac:dyDescent="0.25">
      <c r="A2" s="3" t="s">
        <v>30</v>
      </c>
      <c r="B2" s="9">
        <v>0.7</v>
      </c>
      <c r="C2" s="1"/>
      <c r="D2" s="1"/>
      <c r="E2" s="1"/>
      <c r="F2" s="1"/>
      <c r="G2" s="1"/>
      <c r="H2" s="1"/>
    </row>
    <row r="3" spans="1:8" x14ac:dyDescent="0.25">
      <c r="A3" s="3" t="s">
        <v>18</v>
      </c>
      <c r="B3" s="10" t="s">
        <v>19</v>
      </c>
      <c r="C3" s="3" t="s">
        <v>34</v>
      </c>
      <c r="D3" s="3" t="s">
        <v>31</v>
      </c>
      <c r="E3" s="3" t="s">
        <v>32</v>
      </c>
      <c r="F3" s="3" t="s">
        <v>33</v>
      </c>
      <c r="G3" s="3" t="s">
        <v>35</v>
      </c>
      <c r="H3" s="3" t="s">
        <v>36</v>
      </c>
    </row>
    <row r="4" spans="1:8" x14ac:dyDescent="0.25">
      <c r="A4" s="1" t="s">
        <v>23</v>
      </c>
      <c r="B4" s="2">
        <v>20</v>
      </c>
      <c r="C4" s="1">
        <v>50</v>
      </c>
      <c r="D4" s="16">
        <f>B4*C4</f>
        <v>1000</v>
      </c>
      <c r="E4" s="16">
        <f>B4*$B$2*B4</f>
        <v>280</v>
      </c>
      <c r="F4" s="1">
        <v>50</v>
      </c>
      <c r="G4" s="1"/>
      <c r="H4" s="1"/>
    </row>
    <row r="5" spans="1:8" x14ac:dyDescent="0.25">
      <c r="A5" s="1" t="s">
        <v>24</v>
      </c>
      <c r="B5" s="2">
        <v>30</v>
      </c>
      <c r="C5" s="1">
        <v>50</v>
      </c>
      <c r="D5" s="16">
        <f>B5*C5</f>
        <v>1500</v>
      </c>
      <c r="E5" s="16">
        <f t="shared" ref="E5:E13" si="0">B5*$B$2*B5</f>
        <v>630</v>
      </c>
      <c r="F5" s="1">
        <v>36</v>
      </c>
      <c r="G5" s="1"/>
      <c r="H5" s="1"/>
    </row>
    <row r="6" spans="1:8" x14ac:dyDescent="0.25">
      <c r="A6" s="1" t="s">
        <v>22</v>
      </c>
      <c r="B6" s="2">
        <v>40</v>
      </c>
      <c r="C6" s="1">
        <v>50</v>
      </c>
      <c r="D6" s="16">
        <f>B6*C6</f>
        <v>2000</v>
      </c>
      <c r="E6" s="16">
        <f t="shared" si="0"/>
        <v>1120</v>
      </c>
      <c r="F6" s="1">
        <v>47</v>
      </c>
      <c r="G6" s="1"/>
      <c r="H6" s="1"/>
    </row>
    <row r="7" spans="1:8" x14ac:dyDescent="0.25">
      <c r="A7" s="1" t="s">
        <v>25</v>
      </c>
      <c r="B7" s="2">
        <v>2</v>
      </c>
      <c r="C7" s="1">
        <v>50</v>
      </c>
      <c r="D7" s="16">
        <f t="shared" ref="D7:D13" si="1">B7*C7</f>
        <v>100</v>
      </c>
      <c r="E7" s="16">
        <f t="shared" si="0"/>
        <v>2.8</v>
      </c>
      <c r="F7" s="1">
        <v>16</v>
      </c>
      <c r="G7" s="1"/>
      <c r="H7" s="1"/>
    </row>
    <row r="8" spans="1:8" x14ac:dyDescent="0.25">
      <c r="A8" s="1" t="s">
        <v>21</v>
      </c>
      <c r="B8" s="2">
        <v>2.5</v>
      </c>
      <c r="C8" s="1">
        <v>50</v>
      </c>
      <c r="D8" s="16">
        <f t="shared" si="1"/>
        <v>125</v>
      </c>
      <c r="E8" s="16">
        <f t="shared" si="0"/>
        <v>4.375</v>
      </c>
      <c r="F8" s="1">
        <v>24</v>
      </c>
      <c r="G8" s="1"/>
      <c r="H8" s="1"/>
    </row>
    <row r="9" spans="1:8" x14ac:dyDescent="0.25">
      <c r="A9" s="1" t="s">
        <v>26</v>
      </c>
      <c r="B9" s="2">
        <v>40</v>
      </c>
      <c r="C9" s="1">
        <v>150</v>
      </c>
      <c r="D9" s="16">
        <f t="shared" si="1"/>
        <v>6000</v>
      </c>
      <c r="E9" s="16">
        <f t="shared" si="0"/>
        <v>1120</v>
      </c>
      <c r="F9" s="1">
        <v>130</v>
      </c>
      <c r="G9" s="1"/>
      <c r="H9" s="1"/>
    </row>
    <row r="10" spans="1:8" x14ac:dyDescent="0.25">
      <c r="A10" s="1" t="s">
        <v>27</v>
      </c>
      <c r="B10" s="2">
        <v>50</v>
      </c>
      <c r="C10" s="1">
        <v>150</v>
      </c>
      <c r="D10" s="16">
        <f t="shared" si="1"/>
        <v>7500</v>
      </c>
      <c r="E10" s="16">
        <f t="shared" si="0"/>
        <v>1750</v>
      </c>
      <c r="F10" s="1">
        <v>17</v>
      </c>
      <c r="G10" s="1"/>
      <c r="H10" s="1"/>
    </row>
    <row r="11" spans="1:8" x14ac:dyDescent="0.25">
      <c r="A11" s="1" t="s">
        <v>28</v>
      </c>
      <c r="B11" s="2">
        <v>60</v>
      </c>
      <c r="C11" s="1">
        <v>150</v>
      </c>
      <c r="D11" s="16">
        <f t="shared" si="1"/>
        <v>9000</v>
      </c>
      <c r="E11" s="16">
        <f t="shared" si="0"/>
        <v>2520</v>
      </c>
      <c r="F11" s="1">
        <v>78</v>
      </c>
      <c r="G11" s="1"/>
      <c r="H11" s="1"/>
    </row>
    <row r="12" spans="1:8" x14ac:dyDescent="0.25">
      <c r="A12" s="1" t="s">
        <v>29</v>
      </c>
      <c r="B12" s="2">
        <v>5</v>
      </c>
      <c r="C12" s="1">
        <v>150</v>
      </c>
      <c r="D12" s="16">
        <f t="shared" si="1"/>
        <v>750</v>
      </c>
      <c r="E12" s="16">
        <f t="shared" si="0"/>
        <v>17.5</v>
      </c>
      <c r="F12" s="1">
        <v>4</v>
      </c>
      <c r="G12" s="1"/>
      <c r="H12" s="1"/>
    </row>
    <row r="13" spans="1:8" ht="15.75" thickBot="1" x14ac:dyDescent="0.3">
      <c r="A13" s="1" t="s">
        <v>37</v>
      </c>
      <c r="B13" s="2">
        <v>15</v>
      </c>
      <c r="C13" s="1">
        <v>150</v>
      </c>
      <c r="D13" s="16">
        <f t="shared" si="1"/>
        <v>2250</v>
      </c>
      <c r="E13" s="16">
        <f t="shared" si="0"/>
        <v>157.5</v>
      </c>
      <c r="F13" s="1">
        <v>81</v>
      </c>
      <c r="G13" s="1"/>
      <c r="H13" s="12"/>
    </row>
    <row r="14" spans="1:8" ht="15.75" thickBot="1" x14ac:dyDescent="0.3">
      <c r="B14" s="3" t="s">
        <v>20</v>
      </c>
      <c r="C14" s="1"/>
      <c r="D14" s="1"/>
      <c r="E14" s="3" t="s">
        <v>35</v>
      </c>
      <c r="F14" s="1"/>
      <c r="G14" s="11"/>
      <c r="H14" s="13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Exemplo-Churras</vt:lpstr>
      <vt:lpstr>Notas</vt:lpstr>
      <vt:lpstr>Empreendimento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2025-09-06T11:33:02Z</dcterms:created>
  <dcterms:modified xsi:type="dcterms:W3CDTF">2025-09-06T15:13:15Z</dcterms:modified>
</cp:coreProperties>
</file>