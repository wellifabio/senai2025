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llifabio\senai2025\office\excel\aula03\"/>
    </mc:Choice>
  </mc:AlternateContent>
  <xr:revisionPtr revIDLastSave="0" documentId="13_ncr:1_{25599BE6-259F-4AA9-A2B3-5403E446E6A4}" xr6:coauthVersionLast="47" xr6:coauthVersionMax="47" xr10:uidLastSave="{00000000-0000-0000-0000-000000000000}"/>
  <bookViews>
    <workbookView xWindow="-120" yWindow="-120" windowWidth="29040" windowHeight="15720" activeTab="1" xr2:uid="{BCBA4929-273B-45C2-8AF2-FCCB86DEBDB4}"/>
  </bookViews>
  <sheets>
    <sheet name="Capital" sheetId="2" r:id="rId1"/>
    <sheet name="Cus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17" i="1"/>
  <c r="K18" i="1"/>
  <c r="K19" i="1"/>
  <c r="K20" i="1"/>
  <c r="K21" i="1"/>
  <c r="K22" i="1"/>
  <c r="K16" i="1"/>
  <c r="G17" i="1"/>
  <c r="G18" i="1"/>
  <c r="G19" i="1"/>
  <c r="G16" i="1"/>
  <c r="G20" i="1" s="1"/>
  <c r="K4" i="1"/>
  <c r="K5" i="1"/>
  <c r="K6" i="1"/>
  <c r="K7" i="1"/>
  <c r="K8" i="1"/>
  <c r="K9" i="1"/>
  <c r="K10" i="1"/>
  <c r="K11" i="1"/>
  <c r="G4" i="1"/>
  <c r="G5" i="1"/>
  <c r="G6" i="1"/>
  <c r="G7" i="1"/>
  <c r="G8" i="1"/>
  <c r="G9" i="1"/>
  <c r="G10" i="1"/>
  <c r="G11" i="1"/>
  <c r="G3" i="1"/>
  <c r="C3" i="2"/>
  <c r="C4" i="2"/>
  <c r="C2" i="2"/>
  <c r="B5" i="2"/>
  <c r="K12" i="1" l="1"/>
  <c r="K23" i="1"/>
  <c r="G12" i="1"/>
</calcChain>
</file>

<file path=xl/sharedStrings.xml><?xml version="1.0" encoding="utf-8"?>
<sst xmlns="http://schemas.openxmlformats.org/spreadsheetml/2006/main" count="74" uniqueCount="32">
  <si>
    <t>Suji Nakamura</t>
  </si>
  <si>
    <t>Kanoco Maeda</t>
  </si>
  <si>
    <t>Fujimo Nakombi</t>
  </si>
  <si>
    <t>Sócios</t>
  </si>
  <si>
    <t>Capital</t>
  </si>
  <si>
    <t>Valor</t>
  </si>
  <si>
    <t>Porcentagem</t>
  </si>
  <si>
    <t>Tabela de custos de ingredientes</t>
  </si>
  <si>
    <t>Produto</t>
  </si>
  <si>
    <t>Unidade Kg</t>
  </si>
  <si>
    <t>Custo</t>
  </si>
  <si>
    <t>Azeitona</t>
  </si>
  <si>
    <t>Carne</t>
  </si>
  <si>
    <t>Cebola</t>
  </si>
  <si>
    <t>Gás</t>
  </si>
  <si>
    <t>Massa</t>
  </si>
  <si>
    <t>Óleo</t>
  </si>
  <si>
    <t>Pimenta</t>
  </si>
  <si>
    <t>Sal</t>
  </si>
  <si>
    <t>Tomate</t>
  </si>
  <si>
    <t>Presunto</t>
  </si>
  <si>
    <t>Queijo</t>
  </si>
  <si>
    <t>Frango</t>
  </si>
  <si>
    <t>Orégano</t>
  </si>
  <si>
    <t>Coloral</t>
  </si>
  <si>
    <t>Pastel de carne</t>
  </si>
  <si>
    <t>Pastel de frango</t>
  </si>
  <si>
    <t>Ingredientes</t>
  </si>
  <si>
    <t>Quantidade</t>
  </si>
  <si>
    <t>Custo total</t>
  </si>
  <si>
    <t>Pastel de queijo</t>
  </si>
  <si>
    <t>Pastel de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</si>
</sst>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0" fontId="0" fillId="0" borderId="0" xfId="2" applyNumberFormat="1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Capital!$C$1</c:f>
              <c:strCache>
                <c:ptCount val="1"/>
                <c:pt idx="0">
                  <c:v>Porcentagem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Capital!$A$2:$A$4</c:f>
              <c:strCache>
                <c:ptCount val="3"/>
                <c:pt idx="0">
                  <c:v>Suji Nakamura</c:v>
                </c:pt>
                <c:pt idx="1">
                  <c:v>Kanoco Maeda</c:v>
                </c:pt>
                <c:pt idx="2">
                  <c:v>Fujimo Nakombi</c:v>
                </c:pt>
              </c:strCache>
            </c:strRef>
          </c:cat>
          <c:val>
            <c:numRef>
              <c:f>Capital!$C$2:$C$4</c:f>
              <c:numCache>
                <c:formatCode>0.00%</c:formatCode>
                <c:ptCount val="3"/>
                <c:pt idx="0">
                  <c:v>0.21686746987951808</c:v>
                </c:pt>
                <c:pt idx="1">
                  <c:v>0.42168674698795183</c:v>
                </c:pt>
                <c:pt idx="2">
                  <c:v>0.36144578313253012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5-45F8-8AA9-61D3164F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Capital!$B$1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Capital!$A$2:$A$4</c:f>
              <c:strCache>
                <c:ptCount val="3"/>
                <c:pt idx="0">
                  <c:v>Suji Nakamura</c:v>
                </c:pt>
                <c:pt idx="1">
                  <c:v>Kanoco Maeda</c:v>
                </c:pt>
                <c:pt idx="2">
                  <c:v>Fujimo Nakombi</c:v>
                </c:pt>
              </c:strCache>
            </c:strRef>
          </c:cat>
          <c:val>
            <c:numRef>
              <c:f>Capital!$B$2:$B$4</c:f>
              <c:numCache>
                <c:formatCode>_("R$"* #,##0.00_);_("R$"* \(#,##0.00\);_("R$"* "-"??_);_(@_)</c:formatCode>
                <c:ptCount val="3"/>
                <c:pt idx="0">
                  <c:v>1800</c:v>
                </c:pt>
                <c:pt idx="1">
                  <c:v>3500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B-49D2-8913-036BFDCBD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52387</xdr:rowOff>
    </xdr:from>
    <xdr:to>
      <xdr:col>6</xdr:col>
      <xdr:colOff>104775</xdr:colOff>
      <xdr:row>34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D3B1B0-AEF4-0BA8-E343-4961A08D0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5</xdr:row>
      <xdr:rowOff>100012</xdr:rowOff>
    </xdr:from>
    <xdr:to>
      <xdr:col>6</xdr:col>
      <xdr:colOff>104775</xdr:colOff>
      <xdr:row>19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ACC5DA-520C-4EA1-3A7E-099B19F22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5A0F-B1AF-4961-A7D8-30CC8FB49A4C}">
  <dimension ref="A1:C5"/>
  <sheetViews>
    <sheetView workbookViewId="0">
      <selection activeCell="J20" sqref="J20"/>
    </sheetView>
  </sheetViews>
  <sheetFormatPr defaultRowHeight="15" x14ac:dyDescent="0.25"/>
  <cols>
    <col min="1" max="1" width="15.85546875" bestFit="1" customWidth="1"/>
    <col min="2" max="2" width="12.140625" bestFit="1" customWidth="1"/>
    <col min="3" max="3" width="12.5703125" bestFit="1" customWidth="1"/>
  </cols>
  <sheetData>
    <row r="1" spans="1:3" x14ac:dyDescent="0.25">
      <c r="A1" t="s">
        <v>3</v>
      </c>
      <c r="B1" t="s">
        <v>5</v>
      </c>
      <c r="C1" t="s">
        <v>6</v>
      </c>
    </row>
    <row r="2" spans="1:3" x14ac:dyDescent="0.25">
      <c r="A2" t="s">
        <v>0</v>
      </c>
      <c r="B2" s="1">
        <v>1800</v>
      </c>
      <c r="C2" s="2">
        <f>B2/$B$5</f>
        <v>0.21686746987951808</v>
      </c>
    </row>
    <row r="3" spans="1:3" x14ac:dyDescent="0.25">
      <c r="A3" t="s">
        <v>1</v>
      </c>
      <c r="B3" s="1">
        <v>3500</v>
      </c>
      <c r="C3" s="2">
        <f t="shared" ref="C3:C4" si="0">B3/$B$5</f>
        <v>0.42168674698795183</v>
      </c>
    </row>
    <row r="4" spans="1:3" x14ac:dyDescent="0.25">
      <c r="A4" t="s">
        <v>2</v>
      </c>
      <c r="B4" s="1">
        <v>3000</v>
      </c>
      <c r="C4" s="2">
        <f t="shared" si="0"/>
        <v>0.36144578313253012</v>
      </c>
    </row>
    <row r="5" spans="1:3" x14ac:dyDescent="0.25">
      <c r="A5" t="s">
        <v>4</v>
      </c>
      <c r="B5" s="1">
        <f>SUM(B2:B4)</f>
        <v>8300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7EC0-E055-4EFF-9A03-4D5EF8866F7C}">
  <dimension ref="A1:K23"/>
  <sheetViews>
    <sheetView tabSelected="1" workbookViewId="0">
      <selection activeCell="C23" sqref="C23"/>
    </sheetView>
  </sheetViews>
  <sheetFormatPr defaultColWidth="14.42578125" defaultRowHeight="15" x14ac:dyDescent="0.25"/>
  <sheetData>
    <row r="1" spans="1:11" x14ac:dyDescent="0.25">
      <c r="A1" s="3" t="s">
        <v>7</v>
      </c>
      <c r="B1" s="3"/>
      <c r="C1" s="3"/>
      <c r="E1" s="3" t="s">
        <v>25</v>
      </c>
      <c r="F1" s="3"/>
      <c r="G1" s="3"/>
      <c r="I1" s="3" t="s">
        <v>26</v>
      </c>
      <c r="J1" s="3"/>
      <c r="K1" s="3"/>
    </row>
    <row r="2" spans="1:11" x14ac:dyDescent="0.25">
      <c r="A2" s="4" t="s">
        <v>8</v>
      </c>
      <c r="B2" s="4" t="s">
        <v>9</v>
      </c>
      <c r="C2" s="4" t="s">
        <v>10</v>
      </c>
      <c r="E2" s="4" t="s">
        <v>27</v>
      </c>
      <c r="F2" s="4" t="s">
        <v>28</v>
      </c>
      <c r="G2" s="4" t="s">
        <v>10</v>
      </c>
      <c r="I2" s="4" t="s">
        <v>27</v>
      </c>
      <c r="J2" s="4" t="s">
        <v>28</v>
      </c>
      <c r="K2" s="4" t="s">
        <v>10</v>
      </c>
    </row>
    <row r="3" spans="1:11" x14ac:dyDescent="0.25">
      <c r="A3" t="s">
        <v>11</v>
      </c>
      <c r="B3">
        <v>0.5</v>
      </c>
      <c r="C3" s="1">
        <v>10</v>
      </c>
      <c r="E3" t="s">
        <v>15</v>
      </c>
      <c r="F3">
        <v>0.1</v>
      </c>
      <c r="G3" s="1">
        <f>F3*VLOOKUP(E3,$A$3:$C$16,3,1)</f>
        <v>1.7000000000000002</v>
      </c>
      <c r="I3" t="s">
        <v>15</v>
      </c>
      <c r="J3">
        <v>0.1</v>
      </c>
      <c r="K3" s="1">
        <f>J3*VLOOKUP(I3,$A$3:$C$16,3,1)</f>
        <v>1.7000000000000002</v>
      </c>
    </row>
    <row r="4" spans="1:11" x14ac:dyDescent="0.25">
      <c r="A4" t="s">
        <v>12</v>
      </c>
      <c r="B4">
        <v>1</v>
      </c>
      <c r="C4" s="1">
        <v>30</v>
      </c>
      <c r="E4" t="s">
        <v>12</v>
      </c>
      <c r="F4">
        <v>0.1</v>
      </c>
      <c r="G4" s="1">
        <f>F4*VLOOKUP(E4,$A$3:$C$16,3,1)</f>
        <v>3</v>
      </c>
      <c r="I4" t="s">
        <v>22</v>
      </c>
      <c r="J4">
        <v>0.1</v>
      </c>
      <c r="K4" s="1">
        <f t="shared" ref="K4:K11" si="0">J4*VLOOKUP(I4,$A$3:$C$16,3,1)</f>
        <v>0.70000000000000007</v>
      </c>
    </row>
    <row r="5" spans="1:11" x14ac:dyDescent="0.25">
      <c r="A5" t="s">
        <v>13</v>
      </c>
      <c r="B5">
        <v>1</v>
      </c>
      <c r="C5" s="1">
        <v>7</v>
      </c>
      <c r="E5" t="s">
        <v>13</v>
      </c>
      <c r="F5">
        <v>0.01</v>
      </c>
      <c r="G5" s="1">
        <f t="shared" ref="G4:G11" si="1">F5*VLOOKUP(E5,$A$3:$C$16,3,1)</f>
        <v>7.0000000000000007E-2</v>
      </c>
      <c r="I5" t="s">
        <v>13</v>
      </c>
      <c r="J5">
        <v>0.01</v>
      </c>
      <c r="K5" s="1">
        <f t="shared" si="0"/>
        <v>7.0000000000000007E-2</v>
      </c>
    </row>
    <row r="6" spans="1:11" x14ac:dyDescent="0.25">
      <c r="A6" t="s">
        <v>14</v>
      </c>
      <c r="B6">
        <v>13</v>
      </c>
      <c r="C6" s="1">
        <v>110</v>
      </c>
      <c r="E6" t="s">
        <v>19</v>
      </c>
      <c r="F6">
        <v>5.0000000000000001E-3</v>
      </c>
      <c r="G6" s="1">
        <f t="shared" si="1"/>
        <v>0.05</v>
      </c>
      <c r="I6" t="s">
        <v>19</v>
      </c>
      <c r="J6">
        <v>5.0000000000000001E-3</v>
      </c>
      <c r="K6" s="1">
        <f t="shared" si="0"/>
        <v>0.05</v>
      </c>
    </row>
    <row r="7" spans="1:11" x14ac:dyDescent="0.25">
      <c r="A7" t="s">
        <v>15</v>
      </c>
      <c r="B7">
        <v>0.5</v>
      </c>
      <c r="C7" s="1">
        <v>17</v>
      </c>
      <c r="E7" t="s">
        <v>11</v>
      </c>
      <c r="F7">
        <v>5.0000000000000001E-3</v>
      </c>
      <c r="G7" s="1">
        <f t="shared" si="1"/>
        <v>0.05</v>
      </c>
      <c r="I7" t="s">
        <v>11</v>
      </c>
      <c r="J7">
        <v>5.0000000000000001E-3</v>
      </c>
      <c r="K7" s="1">
        <f t="shared" si="0"/>
        <v>0.05</v>
      </c>
    </row>
    <row r="8" spans="1:11" x14ac:dyDescent="0.25">
      <c r="A8" t="s">
        <v>16</v>
      </c>
      <c r="B8">
        <v>1</v>
      </c>
      <c r="C8" s="1">
        <v>8</v>
      </c>
      <c r="E8" t="s">
        <v>18</v>
      </c>
      <c r="F8">
        <v>1E-3</v>
      </c>
      <c r="G8" s="1">
        <f t="shared" si="1"/>
        <v>0.01</v>
      </c>
      <c r="I8" t="s">
        <v>18</v>
      </c>
      <c r="J8">
        <v>1E-3</v>
      </c>
      <c r="K8" s="1">
        <f t="shared" si="0"/>
        <v>0.01</v>
      </c>
    </row>
    <row r="9" spans="1:11" x14ac:dyDescent="0.25">
      <c r="A9" t="s">
        <v>17</v>
      </c>
      <c r="B9">
        <v>0.1</v>
      </c>
      <c r="C9" s="1">
        <v>10</v>
      </c>
      <c r="E9" t="s">
        <v>17</v>
      </c>
      <c r="F9">
        <v>1E-3</v>
      </c>
      <c r="G9" s="1">
        <f t="shared" si="1"/>
        <v>0.01</v>
      </c>
      <c r="I9" t="s">
        <v>17</v>
      </c>
      <c r="J9">
        <v>1E-3</v>
      </c>
      <c r="K9" s="1">
        <f t="shared" si="0"/>
        <v>0.01</v>
      </c>
    </row>
    <row r="10" spans="1:11" x14ac:dyDescent="0.25">
      <c r="A10" t="s">
        <v>18</v>
      </c>
      <c r="B10">
        <v>0.5</v>
      </c>
      <c r="C10" s="1">
        <v>4</v>
      </c>
      <c r="E10" t="s">
        <v>16</v>
      </c>
      <c r="F10">
        <v>0.05</v>
      </c>
      <c r="G10" s="1">
        <f t="shared" si="1"/>
        <v>0.4</v>
      </c>
      <c r="I10" t="s">
        <v>16</v>
      </c>
      <c r="J10">
        <v>0.05</v>
      </c>
      <c r="K10" s="1">
        <f t="shared" si="0"/>
        <v>0.4</v>
      </c>
    </row>
    <row r="11" spans="1:11" x14ac:dyDescent="0.25">
      <c r="A11" t="s">
        <v>19</v>
      </c>
      <c r="B11">
        <v>1</v>
      </c>
      <c r="C11" s="1">
        <v>10</v>
      </c>
      <c r="E11" t="s">
        <v>14</v>
      </c>
      <c r="F11">
        <v>1E-3</v>
      </c>
      <c r="G11" s="1">
        <f t="shared" si="1"/>
        <v>0.11</v>
      </c>
      <c r="I11" t="s">
        <v>14</v>
      </c>
      <c r="J11">
        <v>1E-3</v>
      </c>
      <c r="K11" s="1">
        <f t="shared" si="0"/>
        <v>0.11</v>
      </c>
    </row>
    <row r="12" spans="1:11" x14ac:dyDescent="0.25">
      <c r="A12" t="s">
        <v>20</v>
      </c>
      <c r="B12">
        <v>1</v>
      </c>
      <c r="C12" s="1">
        <v>50</v>
      </c>
      <c r="F12" s="4" t="s">
        <v>29</v>
      </c>
      <c r="G12" s="1">
        <f>SUM(G3:G11)</f>
        <v>5.4</v>
      </c>
      <c r="J12" s="4" t="s">
        <v>29</v>
      </c>
      <c r="K12" s="1">
        <f>SUM(K3:K11)</f>
        <v>3.0999999999999992</v>
      </c>
    </row>
    <row r="13" spans="1:11" x14ac:dyDescent="0.25">
      <c r="A13" t="s">
        <v>21</v>
      </c>
      <c r="B13">
        <v>1</v>
      </c>
      <c r="C13" s="1">
        <v>60</v>
      </c>
    </row>
    <row r="14" spans="1:11" x14ac:dyDescent="0.25">
      <c r="A14" t="s">
        <v>22</v>
      </c>
      <c r="B14">
        <v>1</v>
      </c>
      <c r="C14" s="1">
        <v>15</v>
      </c>
      <c r="E14" s="3" t="s">
        <v>30</v>
      </c>
      <c r="F14" s="3"/>
      <c r="G14" s="3"/>
      <c r="I14" s="3" t="s">
        <v>31</v>
      </c>
      <c r="J14" s="3"/>
      <c r="K14" s="3"/>
    </row>
    <row r="15" spans="1:11" x14ac:dyDescent="0.25">
      <c r="A15" t="s">
        <v>23</v>
      </c>
      <c r="B15">
        <v>0.1</v>
      </c>
      <c r="C15" s="1">
        <v>10</v>
      </c>
      <c r="E15" s="4" t="s">
        <v>27</v>
      </c>
      <c r="F15" s="4" t="s">
        <v>28</v>
      </c>
      <c r="G15" s="4" t="s">
        <v>10</v>
      </c>
      <c r="I15" s="4" t="s">
        <v>27</v>
      </c>
      <c r="J15" s="4" t="s">
        <v>28</v>
      </c>
      <c r="K15" s="4" t="s">
        <v>10</v>
      </c>
    </row>
    <row r="16" spans="1:11" x14ac:dyDescent="0.25">
      <c r="A16" t="s">
        <v>24</v>
      </c>
      <c r="B16">
        <v>0.1</v>
      </c>
      <c r="C16" s="1">
        <v>10</v>
      </c>
      <c r="E16" t="s">
        <v>15</v>
      </c>
      <c r="F16">
        <v>0.1</v>
      </c>
      <c r="G16" s="1">
        <f>F16*VLOOKUP(E16,$A$3:$C$16,3,1)</f>
        <v>1.7000000000000002</v>
      </c>
      <c r="I16" t="s">
        <v>15</v>
      </c>
      <c r="J16">
        <v>0.1</v>
      </c>
      <c r="K16" s="1">
        <f>J16*VLOOKUP(I16,$A$3:$C$16,3,1)</f>
        <v>1.7000000000000002</v>
      </c>
    </row>
    <row r="17" spans="5:11" x14ac:dyDescent="0.25">
      <c r="E17" t="s">
        <v>21</v>
      </c>
      <c r="F17">
        <v>7.4999999999999997E-2</v>
      </c>
      <c r="G17" s="1">
        <f t="shared" ref="G17:G19" si="2">F17*VLOOKUP(E17,$A$3:$C$16,3,1)</f>
        <v>4.5</v>
      </c>
      <c r="I17" t="s">
        <v>21</v>
      </c>
      <c r="J17">
        <v>0.04</v>
      </c>
      <c r="K17" s="1">
        <f t="shared" ref="K17:K22" si="3">J17*VLOOKUP(I17,$A$3:$C$16,3,1)</f>
        <v>2.4</v>
      </c>
    </row>
    <row r="18" spans="5:11" x14ac:dyDescent="0.25">
      <c r="E18" t="s">
        <v>16</v>
      </c>
      <c r="F18">
        <v>0.05</v>
      </c>
      <c r="G18" s="1">
        <f t="shared" si="2"/>
        <v>0.4</v>
      </c>
      <c r="I18" t="s">
        <v>20</v>
      </c>
      <c r="J18">
        <v>0.04</v>
      </c>
      <c r="K18" s="1">
        <f t="shared" si="3"/>
        <v>0.4</v>
      </c>
    </row>
    <row r="19" spans="5:11" x14ac:dyDescent="0.25">
      <c r="E19" t="s">
        <v>14</v>
      </c>
      <c r="F19">
        <v>1E-3</v>
      </c>
      <c r="G19" s="1">
        <f t="shared" si="2"/>
        <v>0.11</v>
      </c>
      <c r="I19" t="s">
        <v>23</v>
      </c>
      <c r="J19">
        <v>1E-3</v>
      </c>
      <c r="K19" s="1">
        <f t="shared" si="3"/>
        <v>8.0000000000000002E-3</v>
      </c>
    </row>
    <row r="20" spans="5:11" x14ac:dyDescent="0.25">
      <c r="F20" s="4" t="s">
        <v>29</v>
      </c>
      <c r="G20" s="1">
        <f>SUM(G16:G19)</f>
        <v>6.7100000000000009</v>
      </c>
      <c r="I20" t="s">
        <v>19</v>
      </c>
      <c r="J20">
        <v>0.01</v>
      </c>
      <c r="K20" s="1">
        <f t="shared" si="3"/>
        <v>0.1</v>
      </c>
    </row>
    <row r="21" spans="5:11" x14ac:dyDescent="0.25">
      <c r="I21" t="s">
        <v>16</v>
      </c>
      <c r="J21">
        <v>0.05</v>
      </c>
      <c r="K21" s="1">
        <f t="shared" si="3"/>
        <v>0.4</v>
      </c>
    </row>
    <row r="22" spans="5:11" x14ac:dyDescent="0.25">
      <c r="I22" t="s">
        <v>14</v>
      </c>
      <c r="J22">
        <v>1E-3</v>
      </c>
      <c r="K22" s="1">
        <f t="shared" si="3"/>
        <v>0.11</v>
      </c>
    </row>
    <row r="23" spans="5:11" x14ac:dyDescent="0.25">
      <c r="J23" s="4" t="s">
        <v>29</v>
      </c>
      <c r="K23" s="1">
        <f>SUM(K16:K22)</f>
        <v>5.1180000000000003</v>
      </c>
    </row>
  </sheetData>
  <mergeCells count="5">
    <mergeCell ref="A1:C1"/>
    <mergeCell ref="E1:G1"/>
    <mergeCell ref="I1:K1"/>
    <mergeCell ref="E14:G14"/>
    <mergeCell ref="I14:K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Capital</vt:lpstr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2025-09-30T18:51:23Z</dcterms:created>
  <dcterms:modified xsi:type="dcterms:W3CDTF">2025-09-30T19:58:50Z</dcterms:modified>
</cp:coreProperties>
</file>