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porte\Downloads\"/>
    </mc:Choice>
  </mc:AlternateContent>
  <xr:revisionPtr revIDLastSave="0" documentId="13_ncr:1_{FAF7A90E-BB0E-43BF-B262-6D1F2128A192}" xr6:coauthVersionLast="47" xr6:coauthVersionMax="47" xr10:uidLastSave="{00000000-0000-0000-0000-000000000000}"/>
  <bookViews>
    <workbookView xWindow="-120" yWindow="-120" windowWidth="19440" windowHeight="10320" activeTab="2" xr2:uid="{EFA3035D-C96B-427D-AECE-DFDBCF84149B}"/>
  </bookViews>
  <sheets>
    <sheet name="Pagamentos" sheetId="1" r:id="rId1"/>
    <sheet name="Cargos" sheetId="2" r:id="rId2"/>
    <sheet name="INS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3" i="1"/>
  <c r="I4" i="1"/>
  <c r="I5" i="1"/>
  <c r="I6" i="1"/>
  <c r="I7" i="1"/>
  <c r="I8" i="1"/>
  <c r="I9" i="1"/>
  <c r="I10" i="1"/>
  <c r="I11" i="1"/>
  <c r="I13" i="1"/>
  <c r="I14" i="1"/>
  <c r="I15" i="1"/>
  <c r="I16" i="1"/>
  <c r="I17" i="1"/>
  <c r="I18" i="1"/>
  <c r="I19" i="1"/>
  <c r="I20" i="1"/>
  <c r="I3" i="1"/>
  <c r="G3" i="1"/>
  <c r="H4" i="1"/>
  <c r="H5" i="1"/>
  <c r="H6" i="1"/>
  <c r="H7" i="1"/>
  <c r="H8" i="1"/>
  <c r="H9" i="1"/>
  <c r="H10" i="1"/>
  <c r="H11" i="1"/>
  <c r="H13" i="1"/>
  <c r="H14" i="1"/>
  <c r="H15" i="1"/>
  <c r="H16" i="1"/>
  <c r="H17" i="1"/>
  <c r="H18" i="1"/>
  <c r="H19" i="1"/>
  <c r="H20" i="1"/>
  <c r="H3" i="1"/>
  <c r="E5" i="1"/>
  <c r="G5" i="1" s="1"/>
  <c r="E10" i="1"/>
  <c r="G10" i="1" s="1"/>
  <c r="E11" i="1"/>
  <c r="G11" i="1" s="1"/>
  <c r="E13" i="1"/>
  <c r="G13" i="1" s="1"/>
  <c r="E14" i="1"/>
  <c r="G14" i="1" s="1"/>
  <c r="E15" i="1"/>
  <c r="G15" i="1" s="1"/>
  <c r="E16" i="1"/>
  <c r="G16" i="1" s="1"/>
  <c r="E17" i="1"/>
  <c r="G17" i="1" s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E18" i="1" s="1"/>
  <c r="G18" i="1" s="1"/>
  <c r="C19" i="1"/>
  <c r="E19" i="1" s="1"/>
  <c r="G19" i="1" s="1"/>
  <c r="C20" i="1"/>
  <c r="E20" i="1" s="1"/>
  <c r="G20" i="1" s="1"/>
  <c r="C3" i="1"/>
  <c r="E3" i="1" s="1"/>
  <c r="C4" i="2"/>
  <c r="C5" i="2"/>
  <c r="C6" i="2"/>
  <c r="C7" i="2"/>
  <c r="C8" i="2"/>
  <c r="C9" i="2"/>
  <c r="C10" i="2"/>
  <c r="C11" i="2"/>
  <c r="C12" i="2"/>
  <c r="C13" i="2"/>
  <c r="C3" i="2"/>
  <c r="E12" i="1" l="1"/>
  <c r="G12" i="1" s="1"/>
  <c r="H12" i="1" s="1"/>
  <c r="E9" i="1"/>
  <c r="G9" i="1" s="1"/>
  <c r="E8" i="1"/>
  <c r="G8" i="1" s="1"/>
  <c r="E7" i="1"/>
  <c r="G7" i="1" s="1"/>
  <c r="E6" i="1"/>
  <c r="G6" i="1" s="1"/>
  <c r="E4" i="1"/>
  <c r="G4" i="1" s="1"/>
  <c r="I12" i="1" l="1"/>
</calcChain>
</file>

<file path=xl/sharedStrings.xml><?xml version="1.0" encoding="utf-8"?>
<sst xmlns="http://schemas.openxmlformats.org/spreadsheetml/2006/main" count="78" uniqueCount="51">
  <si>
    <t>Folha de Pagamentos</t>
  </si>
  <si>
    <t>Funcionário</t>
  </si>
  <si>
    <t>Camilla Piva da Silva</t>
  </si>
  <si>
    <t>Carla Carota Mozena</t>
  </si>
  <si>
    <t>Carlos Augusto Rodrigues</t>
  </si>
  <si>
    <t>Carlos Henrique de Oliveira Siqueira</t>
  </si>
  <si>
    <t>Cicero Ruan Soares Baborsa</t>
  </si>
  <si>
    <t>Erick da Silva de Jesus</t>
  </si>
  <si>
    <t>Gabriella Godoi Avila</t>
  </si>
  <si>
    <t>Guilherme Carvalho de Oliveira</t>
  </si>
  <si>
    <t>Igor Henrique Gonçalves</t>
  </si>
  <si>
    <t>Jaqueline de Faria Rodrigues</t>
  </si>
  <si>
    <t>João Victor Colosso</t>
  </si>
  <si>
    <t>João Vitor Castro Viana Marques</t>
  </si>
  <si>
    <t>Leticia Aparecido Hofman de Souza</t>
  </si>
  <si>
    <t>Maria Fernanda Mattoso Oliveira Rello</t>
  </si>
  <si>
    <t>Mirella França de Almeida</t>
  </si>
  <si>
    <t>Otávio Bassi de Freitas</t>
  </si>
  <si>
    <t>Otavio Lima Bueno</t>
  </si>
  <si>
    <t>Pedro Henrique Pereira Sanches</t>
  </si>
  <si>
    <t>Cargo</t>
  </si>
  <si>
    <t>Salário Base</t>
  </si>
  <si>
    <t>H. Extras</t>
  </si>
  <si>
    <t>H. Extras R$</t>
  </si>
  <si>
    <t>INSS %</t>
  </si>
  <si>
    <t>INSS R$</t>
  </si>
  <si>
    <t>FGTS R$</t>
  </si>
  <si>
    <t>Salário mínimo</t>
  </si>
  <si>
    <t>Cargos e Salários</t>
  </si>
  <si>
    <t>Fator</t>
  </si>
  <si>
    <t>Salário</t>
  </si>
  <si>
    <t>Estagiário</t>
  </si>
  <si>
    <t>Aprendiz</t>
  </si>
  <si>
    <t>Auxiliar Adm</t>
  </si>
  <si>
    <t>Recepcionista</t>
  </si>
  <si>
    <t>Auxiliar Produção</t>
  </si>
  <si>
    <t>Operador de Produção</t>
  </si>
  <si>
    <t>Encarregado</t>
  </si>
  <si>
    <t>Gerente</t>
  </si>
  <si>
    <t>Auxiliar Limpeza</t>
  </si>
  <si>
    <t>Hora Mês</t>
  </si>
  <si>
    <t>Diretor</t>
  </si>
  <si>
    <t>Supervisor</t>
  </si>
  <si>
    <t>Horas mês</t>
  </si>
  <si>
    <t>Sala hora</t>
  </si>
  <si>
    <t>Teto</t>
  </si>
  <si>
    <t>Deduzir</t>
  </si>
  <si>
    <t>Porcentagem</t>
  </si>
  <si>
    <t>Tabela de INSS 2025</t>
  </si>
  <si>
    <t>Acima de</t>
  </si>
  <si>
    <t>Salário Bruto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</si>
</sst>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5" formatCode="0.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44" fontId="0" fillId="0" borderId="0" xfId="1" applyFont="1"/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1" fillId="0" borderId="0" xfId="1" applyNumberFormat="1" applyFont="1"/>
    <xf numFmtId="44" fontId="1" fillId="0" borderId="0" xfId="1" applyNumberFormat="1" applyFont="1"/>
    <xf numFmtId="44" fontId="0" fillId="0" borderId="0" xfId="0" applyNumberFormat="1"/>
    <xf numFmtId="10" fontId="0" fillId="0" borderId="0" xfId="0" applyNumberFormat="1"/>
    <xf numFmtId="9" fontId="0" fillId="0" borderId="0" xfId="0" applyNumberFormat="1"/>
    <xf numFmtId="165" fontId="0" fillId="0" borderId="0" xfId="2" applyNumberFormat="1" applyFont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22E34-FBB9-4C8B-A28E-3DF59708295C}">
  <dimension ref="A1:L20"/>
  <sheetViews>
    <sheetView topLeftCell="A2" zoomScale="115" zoomScaleNormal="115" workbookViewId="0">
      <selection activeCell="J3" sqref="J3:J20"/>
    </sheetView>
  </sheetViews>
  <sheetFormatPr defaultRowHeight="15" x14ac:dyDescent="0.25"/>
  <cols>
    <col min="1" max="1" width="35.5703125" bestFit="1" customWidth="1"/>
    <col min="2" max="2" width="21.42578125" bestFit="1" customWidth="1"/>
    <col min="3" max="3" width="13.85546875" bestFit="1" customWidth="1"/>
    <col min="4" max="4" width="10.5703125" bestFit="1" customWidth="1"/>
    <col min="5" max="5" width="10" bestFit="1" customWidth="1"/>
    <col min="6" max="6" width="9" bestFit="1" customWidth="1"/>
    <col min="7" max="7" width="12.7109375" bestFit="1" customWidth="1"/>
    <col min="8" max="8" width="13.85546875" bestFit="1" customWidth="1"/>
    <col min="9" max="9" width="10" bestFit="1" customWidth="1"/>
    <col min="10" max="11" width="11.140625" bestFit="1" customWidth="1"/>
    <col min="12" max="12" width="8.28515625" bestFit="1" customWidth="1"/>
  </cols>
  <sheetData>
    <row r="1" spans="1:12" x14ac:dyDescent="0.25">
      <c r="A1" s="1" t="s">
        <v>0</v>
      </c>
    </row>
    <row r="2" spans="1:12" x14ac:dyDescent="0.25">
      <c r="A2" s="1" t="s">
        <v>1</v>
      </c>
      <c r="B2" s="1" t="s">
        <v>20</v>
      </c>
      <c r="C2" s="1" t="s">
        <v>21</v>
      </c>
      <c r="D2" s="1" t="s">
        <v>43</v>
      </c>
      <c r="E2" s="1" t="s">
        <v>44</v>
      </c>
      <c r="F2" s="1" t="s">
        <v>22</v>
      </c>
      <c r="G2" s="1" t="s">
        <v>23</v>
      </c>
      <c r="H2" s="1" t="s">
        <v>50</v>
      </c>
      <c r="I2" s="1" t="s">
        <v>24</v>
      </c>
      <c r="J2" s="1" t="s">
        <v>46</v>
      </c>
      <c r="K2" s="1" t="s">
        <v>25</v>
      </c>
      <c r="L2" s="1" t="s">
        <v>26</v>
      </c>
    </row>
    <row r="3" spans="1:12" x14ac:dyDescent="0.25">
      <c r="A3" t="s">
        <v>2</v>
      </c>
      <c r="B3" t="s">
        <v>32</v>
      </c>
      <c r="C3" s="2">
        <f>VLOOKUP(B3,Cargos!$A$3:$D$13,3)</f>
        <v>1214.4000000000001</v>
      </c>
      <c r="D3" s="5">
        <f>VLOOKUP(B3,Cargos!$A$3:$D$13,4)</f>
        <v>110</v>
      </c>
      <c r="E3" s="6">
        <f>C3/D3</f>
        <v>11.040000000000001</v>
      </c>
      <c r="F3">
        <v>15</v>
      </c>
      <c r="G3" s="7">
        <f>E3*F3*1.5</f>
        <v>248.40000000000003</v>
      </c>
      <c r="H3" s="7">
        <f>C3+G3</f>
        <v>1462.8000000000002</v>
      </c>
      <c r="I3" s="10">
        <f>VLOOKUP(H3,INSS!$B$3:$D$7,3)</f>
        <v>7.4999999999999997E-2</v>
      </c>
      <c r="J3" s="2">
        <f>VLOOKUP(H3,INSS!$B$3:$D$7,2)</f>
        <v>0</v>
      </c>
      <c r="K3" s="7"/>
    </row>
    <row r="4" spans="1:12" x14ac:dyDescent="0.25">
      <c r="A4" t="s">
        <v>3</v>
      </c>
      <c r="B4" t="s">
        <v>33</v>
      </c>
      <c r="C4" s="2">
        <f>VLOOKUP(B4,Cargos!$A$3:$D$13,3)</f>
        <v>2277</v>
      </c>
      <c r="D4" s="5">
        <f>VLOOKUP(B4,Cargos!$A$3:$D$13,4)</f>
        <v>220</v>
      </c>
      <c r="E4" s="6">
        <f t="shared" ref="E4:E20" si="0">C4/D4</f>
        <v>10.35</v>
      </c>
      <c r="F4">
        <v>17</v>
      </c>
      <c r="G4" s="7">
        <f t="shared" ref="G4:G20" si="1">E4*F4*1.5</f>
        <v>263.92499999999995</v>
      </c>
      <c r="H4" s="7">
        <f t="shared" ref="H4:H20" si="2">C4+G4</f>
        <v>2540.9250000000002</v>
      </c>
      <c r="I4" s="10">
        <f>VLOOKUP(H4,INSS!$B$3:$D$7,3)</f>
        <v>0.09</v>
      </c>
      <c r="J4" s="2">
        <f>VLOOKUP(H4,INSS!$B$3:$D$7,2)</f>
        <v>22.77</v>
      </c>
      <c r="K4" s="7"/>
    </row>
    <row r="5" spans="1:12" x14ac:dyDescent="0.25">
      <c r="A5" t="s">
        <v>4</v>
      </c>
      <c r="B5" t="s">
        <v>39</v>
      </c>
      <c r="C5" s="2">
        <f>VLOOKUP(B5,Cargos!$A$3:$D$13,3)</f>
        <v>2277</v>
      </c>
      <c r="D5" s="5">
        <f>VLOOKUP(B5,Cargos!$A$3:$D$13,4)</f>
        <v>220</v>
      </c>
      <c r="E5" s="6">
        <f>C5/D5</f>
        <v>10.35</v>
      </c>
      <c r="F5">
        <v>5</v>
      </c>
      <c r="G5" s="7">
        <f t="shared" si="1"/>
        <v>77.625</v>
      </c>
      <c r="H5" s="7">
        <f t="shared" si="2"/>
        <v>2354.625</v>
      </c>
      <c r="I5" s="10">
        <f>VLOOKUP(H5,INSS!$B$3:$D$7,3)</f>
        <v>0.09</v>
      </c>
      <c r="J5" s="2">
        <f>VLOOKUP(H5,INSS!$B$3:$D$7,2)</f>
        <v>22.77</v>
      </c>
      <c r="K5" s="7"/>
    </row>
    <row r="6" spans="1:12" x14ac:dyDescent="0.25">
      <c r="A6" t="s">
        <v>5</v>
      </c>
      <c r="B6" t="s">
        <v>35</v>
      </c>
      <c r="C6" s="2">
        <f>VLOOKUP(B6,Cargos!$A$3:$D$13,3)</f>
        <v>1518</v>
      </c>
      <c r="D6" s="5">
        <f>VLOOKUP(B6,Cargos!$A$3:$D$13,4)</f>
        <v>220</v>
      </c>
      <c r="E6" s="6">
        <f t="shared" si="0"/>
        <v>6.9</v>
      </c>
      <c r="F6">
        <v>30</v>
      </c>
      <c r="G6" s="7">
        <f t="shared" si="1"/>
        <v>310.5</v>
      </c>
      <c r="H6" s="7">
        <f t="shared" si="2"/>
        <v>1828.5</v>
      </c>
      <c r="I6" s="10">
        <f>VLOOKUP(H6,INSS!$B$3:$D$7,3)</f>
        <v>0.09</v>
      </c>
      <c r="J6" s="2">
        <f>VLOOKUP(H6,INSS!$B$3:$D$7,2)</f>
        <v>22.77</v>
      </c>
      <c r="K6" s="7"/>
    </row>
    <row r="7" spans="1:12" x14ac:dyDescent="0.25">
      <c r="A7" t="s">
        <v>6</v>
      </c>
      <c r="B7" t="s">
        <v>41</v>
      </c>
      <c r="C7" s="2">
        <f>VLOOKUP(B7,Cargos!$A$3:$D$13,3)</f>
        <v>10626</v>
      </c>
      <c r="D7" s="5">
        <f>VLOOKUP(B7,Cargos!$A$3:$D$13,4)</f>
        <v>220</v>
      </c>
      <c r="E7" s="6">
        <f t="shared" si="0"/>
        <v>48.3</v>
      </c>
      <c r="F7">
        <v>8</v>
      </c>
      <c r="G7" s="7">
        <f t="shared" si="1"/>
        <v>579.59999999999991</v>
      </c>
      <c r="H7" s="7">
        <f t="shared" si="2"/>
        <v>11205.6</v>
      </c>
      <c r="I7" s="10" t="str">
        <f>VLOOKUP(H7,INSS!$B$3:$D$7,3)</f>
        <v>Teto</v>
      </c>
      <c r="J7" s="2" t="str">
        <f>VLOOKUP(H7,INSS!$B$3:$D$7,2)</f>
        <v>Teto</v>
      </c>
      <c r="K7" s="7"/>
    </row>
    <row r="8" spans="1:12" x14ac:dyDescent="0.25">
      <c r="A8" t="s">
        <v>7</v>
      </c>
      <c r="B8" t="s">
        <v>37</v>
      </c>
      <c r="C8" s="2">
        <f>VLOOKUP(B8,Cargos!$A$3:$D$13,3)</f>
        <v>4554</v>
      </c>
      <c r="D8" s="5">
        <f>VLOOKUP(B8,Cargos!$A$3:$D$13,4)</f>
        <v>220</v>
      </c>
      <c r="E8" s="6">
        <f t="shared" si="0"/>
        <v>20.7</v>
      </c>
      <c r="F8">
        <v>10</v>
      </c>
      <c r="G8" s="7">
        <f t="shared" si="1"/>
        <v>310.5</v>
      </c>
      <c r="H8" s="7">
        <f t="shared" si="2"/>
        <v>4864.5</v>
      </c>
      <c r="I8" s="10">
        <f>VLOOKUP(H8,INSS!$B$3:$D$7,3)</f>
        <v>0.14000000000000001</v>
      </c>
      <c r="J8" s="2">
        <f>VLOOKUP(H8,INSS!$B$3:$D$7,2)</f>
        <v>190.42</v>
      </c>
      <c r="K8" s="7"/>
    </row>
    <row r="9" spans="1:12" x14ac:dyDescent="0.25">
      <c r="A9" t="s">
        <v>8</v>
      </c>
      <c r="B9" t="s">
        <v>31</v>
      </c>
      <c r="C9" s="2">
        <f>VLOOKUP(B9,Cargos!$A$3:$D$13,3)</f>
        <v>759</v>
      </c>
      <c r="D9" s="5">
        <f>VLOOKUP(B9,Cargos!$A$3:$D$13,4)</f>
        <v>180</v>
      </c>
      <c r="E9" s="6">
        <f t="shared" si="0"/>
        <v>4.2166666666666668</v>
      </c>
      <c r="F9">
        <v>12</v>
      </c>
      <c r="G9" s="7">
        <f t="shared" si="1"/>
        <v>75.900000000000006</v>
      </c>
      <c r="H9" s="7">
        <f t="shared" si="2"/>
        <v>834.9</v>
      </c>
      <c r="I9" s="10">
        <f>VLOOKUP(H9,INSS!$B$3:$D$7,3)</f>
        <v>7.4999999999999997E-2</v>
      </c>
      <c r="J9" s="2">
        <f>VLOOKUP(H9,INSS!$B$3:$D$7,2)</f>
        <v>0</v>
      </c>
      <c r="K9" s="7"/>
    </row>
    <row r="10" spans="1:12" x14ac:dyDescent="0.25">
      <c r="A10" t="s">
        <v>9</v>
      </c>
      <c r="B10" t="s">
        <v>38</v>
      </c>
      <c r="C10" s="2">
        <f>VLOOKUP(B10,Cargos!$A$3:$D$13,3)</f>
        <v>7590</v>
      </c>
      <c r="D10" s="5">
        <f>VLOOKUP(B10,Cargos!$A$3:$D$13,4)</f>
        <v>220</v>
      </c>
      <c r="E10" s="6">
        <f t="shared" si="0"/>
        <v>34.5</v>
      </c>
      <c r="F10">
        <v>0</v>
      </c>
      <c r="G10" s="7">
        <f t="shared" si="1"/>
        <v>0</v>
      </c>
      <c r="H10" s="7">
        <f t="shared" si="2"/>
        <v>7590</v>
      </c>
      <c r="I10" s="10">
        <f>VLOOKUP(H10,INSS!$B$3:$D$7,3)</f>
        <v>0.14000000000000001</v>
      </c>
      <c r="J10" s="2">
        <f>VLOOKUP(H10,INSS!$B$3:$D$7,2)</f>
        <v>190.42</v>
      </c>
      <c r="K10" s="7"/>
    </row>
    <row r="11" spans="1:12" x14ac:dyDescent="0.25">
      <c r="A11" t="s">
        <v>10</v>
      </c>
      <c r="B11" t="s">
        <v>36</v>
      </c>
      <c r="C11" s="2">
        <f>VLOOKUP(B11,Cargos!$A$3:$D$13,3)</f>
        <v>3036</v>
      </c>
      <c r="D11" s="5">
        <f>VLOOKUP(B11,Cargos!$A$3:$D$13,4)</f>
        <v>220</v>
      </c>
      <c r="E11" s="6">
        <f t="shared" si="0"/>
        <v>13.8</v>
      </c>
      <c r="F11">
        <v>12</v>
      </c>
      <c r="G11" s="7">
        <f t="shared" si="1"/>
        <v>248.40000000000003</v>
      </c>
      <c r="H11" s="7">
        <f t="shared" si="2"/>
        <v>3284.4</v>
      </c>
      <c r="I11" s="10">
        <f>VLOOKUP(H11,INSS!$B$3:$D$7,3)</f>
        <v>0.12</v>
      </c>
      <c r="J11" s="2">
        <f>VLOOKUP(H11,INSS!$B$3:$D$7,2)</f>
        <v>106.8</v>
      </c>
      <c r="K11" s="7"/>
    </row>
    <row r="12" spans="1:12" x14ac:dyDescent="0.25">
      <c r="A12" t="s">
        <v>11</v>
      </c>
      <c r="B12" t="s">
        <v>34</v>
      </c>
      <c r="C12" s="2">
        <f>VLOOKUP(B12,Cargos!$A$3:$D$13,3)</f>
        <v>2277</v>
      </c>
      <c r="D12" s="5">
        <f>VLOOKUP(B12,Cargos!$A$3:$D$13,4)</f>
        <v>220</v>
      </c>
      <c r="E12" s="6">
        <f t="shared" si="0"/>
        <v>10.35</v>
      </c>
      <c r="F12">
        <v>18</v>
      </c>
      <c r="G12" s="7">
        <f t="shared" si="1"/>
        <v>279.45</v>
      </c>
      <c r="H12" s="7">
        <f t="shared" si="2"/>
        <v>2556.4499999999998</v>
      </c>
      <c r="I12" s="10">
        <f>VLOOKUP(H12,INSS!$B$3:$D$7,3)</f>
        <v>0.09</v>
      </c>
      <c r="J12" s="2">
        <f>VLOOKUP(H12,INSS!$B$3:$D$7,2)</f>
        <v>22.77</v>
      </c>
      <c r="K12" s="7"/>
    </row>
    <row r="13" spans="1:12" x14ac:dyDescent="0.25">
      <c r="A13" t="s">
        <v>12</v>
      </c>
      <c r="B13" t="s">
        <v>42</v>
      </c>
      <c r="C13" s="2">
        <f>VLOOKUP(B13,Cargos!$A$3:$D$13,3)</f>
        <v>3036</v>
      </c>
      <c r="D13" s="5">
        <f>VLOOKUP(B13,Cargos!$A$3:$D$13,4)</f>
        <v>220</v>
      </c>
      <c r="E13" s="6">
        <f t="shared" si="0"/>
        <v>13.8</v>
      </c>
      <c r="F13">
        <v>0</v>
      </c>
      <c r="G13" s="7">
        <f t="shared" si="1"/>
        <v>0</v>
      </c>
      <c r="H13" s="7">
        <f t="shared" si="2"/>
        <v>3036</v>
      </c>
      <c r="I13" s="10">
        <f>VLOOKUP(H13,INSS!$B$3:$D$7,3)</f>
        <v>0.12</v>
      </c>
      <c r="J13" s="2">
        <f>VLOOKUP(H13,INSS!$B$3:$D$7,2)</f>
        <v>106.8</v>
      </c>
      <c r="K13" s="7"/>
    </row>
    <row r="14" spans="1:12" x14ac:dyDescent="0.25">
      <c r="A14" t="s">
        <v>13</v>
      </c>
      <c r="B14" t="s">
        <v>36</v>
      </c>
      <c r="C14" s="2">
        <f>VLOOKUP(B14,Cargos!$A$3:$D$13,3)</f>
        <v>3036</v>
      </c>
      <c r="D14" s="5">
        <f>VLOOKUP(B14,Cargos!$A$3:$D$13,4)</f>
        <v>220</v>
      </c>
      <c r="E14" s="6">
        <f t="shared" si="0"/>
        <v>13.8</v>
      </c>
      <c r="F14">
        <v>28</v>
      </c>
      <c r="G14" s="7">
        <f t="shared" si="1"/>
        <v>579.6</v>
      </c>
      <c r="H14" s="7">
        <f t="shared" si="2"/>
        <v>3615.6</v>
      </c>
      <c r="I14" s="10">
        <f>VLOOKUP(H14,INSS!$B$3:$D$7,3)</f>
        <v>0.12</v>
      </c>
      <c r="J14" s="2">
        <f>VLOOKUP(H14,INSS!$B$3:$D$7,2)</f>
        <v>106.8</v>
      </c>
      <c r="K14" s="7"/>
    </row>
    <row r="15" spans="1:12" x14ac:dyDescent="0.25">
      <c r="A15" t="s">
        <v>14</v>
      </c>
      <c r="B15" t="s">
        <v>36</v>
      </c>
      <c r="C15" s="2">
        <f>VLOOKUP(B15,Cargos!$A$3:$D$13,3)</f>
        <v>3036</v>
      </c>
      <c r="D15" s="5">
        <f>VLOOKUP(B15,Cargos!$A$3:$D$13,4)</f>
        <v>220</v>
      </c>
      <c r="E15" s="6">
        <f t="shared" si="0"/>
        <v>13.8</v>
      </c>
      <c r="F15">
        <v>24</v>
      </c>
      <c r="G15" s="7">
        <f t="shared" si="1"/>
        <v>496.80000000000007</v>
      </c>
      <c r="H15" s="7">
        <f t="shared" si="2"/>
        <v>3532.8</v>
      </c>
      <c r="I15" s="10">
        <f>VLOOKUP(H15,INSS!$B$3:$D$7,3)</f>
        <v>0.12</v>
      </c>
      <c r="J15" s="2">
        <f>VLOOKUP(H15,INSS!$B$3:$D$7,2)</f>
        <v>106.8</v>
      </c>
      <c r="K15" s="7"/>
    </row>
    <row r="16" spans="1:12" x14ac:dyDescent="0.25">
      <c r="A16" t="s">
        <v>15</v>
      </c>
      <c r="B16" t="s">
        <v>35</v>
      </c>
      <c r="C16" s="2">
        <f>VLOOKUP(B16,Cargos!$A$3:$D$13,3)</f>
        <v>1518</v>
      </c>
      <c r="D16" s="5">
        <f>VLOOKUP(B16,Cargos!$A$3:$D$13,4)</f>
        <v>220</v>
      </c>
      <c r="E16" s="6">
        <f t="shared" si="0"/>
        <v>6.9</v>
      </c>
      <c r="F16">
        <v>30</v>
      </c>
      <c r="G16" s="7">
        <f t="shared" si="1"/>
        <v>310.5</v>
      </c>
      <c r="H16" s="7">
        <f t="shared" si="2"/>
        <v>1828.5</v>
      </c>
      <c r="I16" s="10">
        <f>VLOOKUP(H16,INSS!$B$3:$D$7,3)</f>
        <v>0.09</v>
      </c>
      <c r="J16" s="2">
        <f>VLOOKUP(H16,INSS!$B$3:$D$7,2)</f>
        <v>22.77</v>
      </c>
      <c r="K16" s="7"/>
    </row>
    <row r="17" spans="1:11" x14ac:dyDescent="0.25">
      <c r="A17" t="s">
        <v>16</v>
      </c>
      <c r="B17" t="s">
        <v>35</v>
      </c>
      <c r="C17" s="2">
        <f>VLOOKUP(B17,Cargos!$A$3:$D$13,3)</f>
        <v>1518</v>
      </c>
      <c r="D17" s="5">
        <f>VLOOKUP(B17,Cargos!$A$3:$D$13,4)</f>
        <v>220</v>
      </c>
      <c r="E17" s="6">
        <f t="shared" si="0"/>
        <v>6.9</v>
      </c>
      <c r="F17">
        <v>22</v>
      </c>
      <c r="G17" s="7">
        <f t="shared" si="1"/>
        <v>227.70000000000002</v>
      </c>
      <c r="H17" s="7">
        <f t="shared" si="2"/>
        <v>1745.7</v>
      </c>
      <c r="I17" s="10">
        <f>VLOOKUP(H17,INSS!$B$3:$D$7,3)</f>
        <v>0.09</v>
      </c>
      <c r="J17" s="2">
        <f>VLOOKUP(H17,INSS!$B$3:$D$7,2)</f>
        <v>22.77</v>
      </c>
      <c r="K17" s="7"/>
    </row>
    <row r="18" spans="1:11" x14ac:dyDescent="0.25">
      <c r="A18" t="s">
        <v>17</v>
      </c>
      <c r="B18" t="s">
        <v>35</v>
      </c>
      <c r="C18" s="2">
        <f>VLOOKUP(B18,Cargos!$A$3:$D$13,3)</f>
        <v>1518</v>
      </c>
      <c r="D18" s="5">
        <f>VLOOKUP(B18,Cargos!$A$3:$D$13,4)</f>
        <v>220</v>
      </c>
      <c r="E18" s="6">
        <f t="shared" si="0"/>
        <v>6.9</v>
      </c>
      <c r="F18">
        <v>5</v>
      </c>
      <c r="G18" s="7">
        <f t="shared" si="1"/>
        <v>51.75</v>
      </c>
      <c r="H18" s="7">
        <f t="shared" si="2"/>
        <v>1569.75</v>
      </c>
      <c r="I18" s="10">
        <f>VLOOKUP(H18,INSS!$B$3:$D$7,3)</f>
        <v>0.09</v>
      </c>
      <c r="J18" s="2">
        <f>VLOOKUP(H18,INSS!$B$3:$D$7,2)</f>
        <v>22.77</v>
      </c>
      <c r="K18" s="7"/>
    </row>
    <row r="19" spans="1:11" x14ac:dyDescent="0.25">
      <c r="A19" t="s">
        <v>18</v>
      </c>
      <c r="B19" t="s">
        <v>39</v>
      </c>
      <c r="C19" s="2">
        <f>VLOOKUP(B19,Cargos!$A$3:$D$13,3)</f>
        <v>2277</v>
      </c>
      <c r="D19" s="5">
        <f>VLOOKUP(B19,Cargos!$A$3:$D$13,4)</f>
        <v>220</v>
      </c>
      <c r="E19" s="6">
        <f t="shared" si="0"/>
        <v>10.35</v>
      </c>
      <c r="F19">
        <v>6</v>
      </c>
      <c r="G19" s="7">
        <f t="shared" si="1"/>
        <v>93.149999999999991</v>
      </c>
      <c r="H19" s="7">
        <f t="shared" si="2"/>
        <v>2370.15</v>
      </c>
      <c r="I19" s="10">
        <f>VLOOKUP(H19,INSS!$B$3:$D$7,3)</f>
        <v>0.09</v>
      </c>
      <c r="J19" s="2">
        <f>VLOOKUP(H19,INSS!$B$3:$D$7,2)</f>
        <v>22.77</v>
      </c>
      <c r="K19" s="7"/>
    </row>
    <row r="20" spans="1:11" x14ac:dyDescent="0.25">
      <c r="A20" t="s">
        <v>19</v>
      </c>
      <c r="B20" t="s">
        <v>33</v>
      </c>
      <c r="C20" s="2">
        <f>VLOOKUP(B20,Cargos!$A$3:$D$13,3)</f>
        <v>2277</v>
      </c>
      <c r="D20" s="5">
        <f>VLOOKUP(B20,Cargos!$A$3:$D$13,4)</f>
        <v>220</v>
      </c>
      <c r="E20" s="6">
        <f t="shared" si="0"/>
        <v>10.35</v>
      </c>
      <c r="F20">
        <v>9</v>
      </c>
      <c r="G20" s="7">
        <f t="shared" si="1"/>
        <v>139.72499999999999</v>
      </c>
      <c r="H20" s="7">
        <f t="shared" si="2"/>
        <v>2416.7249999999999</v>
      </c>
      <c r="I20" s="10">
        <f>VLOOKUP(H20,INSS!$B$3:$D$7,3)</f>
        <v>0.09</v>
      </c>
      <c r="J20" s="2">
        <f>VLOOKUP(H20,INSS!$B$3:$D$7,2)</f>
        <v>22.77</v>
      </c>
      <c r="K20" s="7"/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Cargo" error="Inválido" promptTitle="Escolha" prompt="O cargo na lista" xr:uid="{190AE0BB-43E0-4EDF-A3C4-ADC27447EEFB}">
          <x14:formula1>
            <xm:f>Cargos!$A$3:$A$13</xm:f>
          </x14:formula1>
          <xm:sqref>B3:B20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5C68A-4D81-4AAD-8B7A-2E5F7F612CAE}">
  <dimension ref="A1:F13"/>
  <sheetViews>
    <sheetView zoomScale="130" zoomScaleNormal="130" workbookViewId="0">
      <selection activeCell="B12" sqref="B12"/>
    </sheetView>
  </sheetViews>
  <sheetFormatPr defaultRowHeight="15" x14ac:dyDescent="0.25"/>
  <cols>
    <col min="1" max="1" width="21.42578125" bestFit="1" customWidth="1"/>
    <col min="2" max="2" width="5.5703125" bestFit="1" customWidth="1"/>
    <col min="3" max="3" width="13.85546875" bestFit="1" customWidth="1"/>
    <col min="4" max="4" width="9.42578125" bestFit="1" customWidth="1"/>
    <col min="6" max="6" width="14.5703125" bestFit="1" customWidth="1"/>
  </cols>
  <sheetData>
    <row r="1" spans="1:6" ht="18.75" x14ac:dyDescent="0.3">
      <c r="A1" s="4" t="s">
        <v>28</v>
      </c>
      <c r="B1" s="4"/>
      <c r="C1" s="4"/>
      <c r="D1" s="4"/>
    </row>
    <row r="2" spans="1:6" x14ac:dyDescent="0.25">
      <c r="A2" t="s">
        <v>20</v>
      </c>
      <c r="B2" t="s">
        <v>29</v>
      </c>
      <c r="C2" t="s">
        <v>30</v>
      </c>
      <c r="D2" t="s">
        <v>40</v>
      </c>
      <c r="F2" s="1" t="s">
        <v>27</v>
      </c>
    </row>
    <row r="3" spans="1:6" x14ac:dyDescent="0.25">
      <c r="A3" t="s">
        <v>32</v>
      </c>
      <c r="B3">
        <v>0.8</v>
      </c>
      <c r="C3" s="2">
        <f>B3*$F$3</f>
        <v>1214.4000000000001</v>
      </c>
      <c r="D3">
        <v>110</v>
      </c>
      <c r="F3" s="2">
        <v>1518</v>
      </c>
    </row>
    <row r="4" spans="1:6" x14ac:dyDescent="0.25">
      <c r="A4" t="s">
        <v>33</v>
      </c>
      <c r="B4">
        <v>1.5</v>
      </c>
      <c r="C4" s="2">
        <f t="shared" ref="C4:C13" si="0">B4*$F$3</f>
        <v>2277</v>
      </c>
      <c r="D4">
        <v>220</v>
      </c>
    </row>
    <row r="5" spans="1:6" x14ac:dyDescent="0.25">
      <c r="A5" t="s">
        <v>39</v>
      </c>
      <c r="B5">
        <v>1.5</v>
      </c>
      <c r="C5" s="2">
        <f t="shared" si="0"/>
        <v>2277</v>
      </c>
      <c r="D5">
        <v>220</v>
      </c>
    </row>
    <row r="6" spans="1:6" x14ac:dyDescent="0.25">
      <c r="A6" t="s">
        <v>35</v>
      </c>
      <c r="B6">
        <v>1</v>
      </c>
      <c r="C6" s="2">
        <f t="shared" si="0"/>
        <v>1518</v>
      </c>
      <c r="D6">
        <v>220</v>
      </c>
    </row>
    <row r="7" spans="1:6" x14ac:dyDescent="0.25">
      <c r="A7" t="s">
        <v>41</v>
      </c>
      <c r="B7">
        <v>7</v>
      </c>
      <c r="C7" s="2">
        <f t="shared" si="0"/>
        <v>10626</v>
      </c>
      <c r="D7">
        <v>220</v>
      </c>
    </row>
    <row r="8" spans="1:6" x14ac:dyDescent="0.25">
      <c r="A8" t="s">
        <v>37</v>
      </c>
      <c r="B8">
        <v>3</v>
      </c>
      <c r="C8" s="2">
        <f t="shared" si="0"/>
        <v>4554</v>
      </c>
      <c r="D8">
        <v>220</v>
      </c>
    </row>
    <row r="9" spans="1:6" x14ac:dyDescent="0.25">
      <c r="A9" t="s">
        <v>31</v>
      </c>
      <c r="B9">
        <v>0.5</v>
      </c>
      <c r="C9" s="2">
        <f t="shared" si="0"/>
        <v>759</v>
      </c>
      <c r="D9">
        <v>180</v>
      </c>
    </row>
    <row r="10" spans="1:6" x14ac:dyDescent="0.25">
      <c r="A10" t="s">
        <v>38</v>
      </c>
      <c r="B10">
        <v>5</v>
      </c>
      <c r="C10" s="2">
        <f t="shared" si="0"/>
        <v>7590</v>
      </c>
      <c r="D10">
        <v>220</v>
      </c>
    </row>
    <row r="11" spans="1:6" x14ac:dyDescent="0.25">
      <c r="A11" t="s">
        <v>36</v>
      </c>
      <c r="B11">
        <v>2</v>
      </c>
      <c r="C11" s="2">
        <f t="shared" si="0"/>
        <v>3036</v>
      </c>
      <c r="D11">
        <v>220</v>
      </c>
    </row>
    <row r="12" spans="1:6" x14ac:dyDescent="0.25">
      <c r="A12" t="s">
        <v>34</v>
      </c>
      <c r="B12">
        <v>1.5</v>
      </c>
      <c r="C12" s="2">
        <f t="shared" si="0"/>
        <v>2277</v>
      </c>
      <c r="D12">
        <v>220</v>
      </c>
    </row>
    <row r="13" spans="1:6" x14ac:dyDescent="0.25">
      <c r="A13" t="s">
        <v>42</v>
      </c>
      <c r="B13">
        <v>2</v>
      </c>
      <c r="C13" s="2">
        <f t="shared" si="0"/>
        <v>3036</v>
      </c>
      <c r="D13">
        <v>220</v>
      </c>
    </row>
  </sheetData>
  <sortState xmlns:xlrd2="http://schemas.microsoft.com/office/spreadsheetml/2017/richdata2" ref="A3:D12">
    <sortCondition ref="A2:A12"/>
  </sortState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E2113-A20F-4752-9D6B-FCDAD72F6143}">
  <dimension ref="A1:I7"/>
  <sheetViews>
    <sheetView tabSelected="1" zoomScale="115" zoomScaleNormal="115" workbookViewId="0">
      <selection activeCell="F7" sqref="F7"/>
    </sheetView>
  </sheetViews>
  <sheetFormatPr defaultRowHeight="15" x14ac:dyDescent="0.25"/>
  <cols>
    <col min="2" max="2" width="12.7109375" bestFit="1" customWidth="1"/>
    <col min="3" max="3" width="11.140625" bestFit="1" customWidth="1"/>
    <col min="4" max="4" width="12.85546875" bestFit="1" customWidth="1"/>
    <col min="6" max="6" width="13.7109375" customWidth="1"/>
    <col min="8" max="9" width="12.140625" bestFit="1" customWidth="1"/>
  </cols>
  <sheetData>
    <row r="1" spans="1:9" ht="18.75" x14ac:dyDescent="0.3">
      <c r="B1" s="3" t="s">
        <v>48</v>
      </c>
      <c r="C1" s="3"/>
      <c r="D1" s="3"/>
    </row>
    <row r="2" spans="1:9" x14ac:dyDescent="0.25">
      <c r="B2" s="1" t="s">
        <v>30</v>
      </c>
      <c r="C2" s="1" t="s">
        <v>46</v>
      </c>
      <c r="D2" s="1" t="s">
        <v>47</v>
      </c>
    </row>
    <row r="3" spans="1:9" x14ac:dyDescent="0.25">
      <c r="A3" t="s">
        <v>49</v>
      </c>
      <c r="B3">
        <v>0</v>
      </c>
      <c r="C3">
        <v>0</v>
      </c>
      <c r="D3" s="8">
        <v>7.4999999999999997E-2</v>
      </c>
    </row>
    <row r="4" spans="1:9" x14ac:dyDescent="0.25">
      <c r="A4" t="s">
        <v>49</v>
      </c>
      <c r="B4" s="2">
        <v>1518.01</v>
      </c>
      <c r="C4" s="2">
        <v>22.77</v>
      </c>
      <c r="D4" s="9">
        <v>0.09</v>
      </c>
      <c r="F4" s="2"/>
      <c r="G4" s="9"/>
      <c r="H4" s="2"/>
      <c r="I4" s="2"/>
    </row>
    <row r="5" spans="1:9" x14ac:dyDescent="0.25">
      <c r="A5" t="s">
        <v>49</v>
      </c>
      <c r="B5" s="2">
        <v>2793.89</v>
      </c>
      <c r="C5" s="2">
        <v>106.8</v>
      </c>
      <c r="D5" s="9">
        <v>0.12</v>
      </c>
    </row>
    <row r="6" spans="1:9" x14ac:dyDescent="0.25">
      <c r="A6" t="s">
        <v>49</v>
      </c>
      <c r="B6" s="2">
        <v>4190.84</v>
      </c>
      <c r="C6" s="2">
        <v>190.42</v>
      </c>
      <c r="D6" s="9">
        <v>0.14000000000000001</v>
      </c>
      <c r="F6" t="s">
        <v>45</v>
      </c>
    </row>
    <row r="7" spans="1:9" x14ac:dyDescent="0.25">
      <c r="A7" t="s">
        <v>49</v>
      </c>
      <c r="B7" s="2">
        <v>8157.42</v>
      </c>
      <c r="C7" t="s">
        <v>45</v>
      </c>
      <c r="D7" s="7" t="s">
        <v>45</v>
      </c>
      <c r="F7" s="7"/>
    </row>
  </sheetData>
  <mergeCells count="1">
    <mergeCell ref="B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Pagamentos</vt:lpstr>
      <vt:lpstr>Cargos</vt:lpstr>
      <vt:lpstr>INSS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Spoljaric</dc:creator>
  <cp:lastModifiedBy>Luis Fernando Spoljaric</cp:lastModifiedBy>
  <dcterms:created xsi:type="dcterms:W3CDTF">2025-03-29T11:29:40Z</dcterms:created>
  <dcterms:modified xsi:type="dcterms:W3CDTF">2025-03-29T14:36:03Z</dcterms:modified>
</cp:coreProperties>
</file>