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sor\Downloads\"/>
    </mc:Choice>
  </mc:AlternateContent>
  <xr:revisionPtr revIDLastSave="0" documentId="13_ncr:1_{D47F5C44-3D09-4CBF-BE32-DDB8BAA87C66}" xr6:coauthVersionLast="47" xr6:coauthVersionMax="47" xr10:uidLastSave="{00000000-0000-0000-0000-000000000000}"/>
  <bookViews>
    <workbookView xWindow="-120" yWindow="-120" windowWidth="29040" windowHeight="15720" activeTab="3" xr2:uid="{EFA3035D-C96B-427D-AECE-DFDBCF84149B}"/>
  </bookViews>
  <sheets>
    <sheet name="Horas Extras" sheetId="10" r:id="rId1"/>
    <sheet name="Salário Base" sheetId="6" r:id="rId2"/>
    <sheet name="Pagamentos" sheetId="1" r:id="rId3"/>
    <sheet name="Cargos" sheetId="2" r:id="rId4"/>
    <sheet name="INSS" sheetId="3" r:id="rId5"/>
    <sheet name="IRRF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5" i="2"/>
  <c r="E6" i="2"/>
  <c r="E7" i="2"/>
  <c r="E8" i="2"/>
  <c r="E9" i="2"/>
  <c r="E10" i="2"/>
  <c r="E11" i="2"/>
  <c r="E12" i="2"/>
  <c r="E13" i="2"/>
  <c r="E3" i="2"/>
  <c r="F7" i="3"/>
  <c r="J10" i="1"/>
  <c r="H19" i="1"/>
  <c r="E5" i="1"/>
  <c r="G5" i="1" s="1"/>
  <c r="E10" i="1"/>
  <c r="G10" i="1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3" i="1"/>
  <c r="C4" i="1"/>
  <c r="C5" i="1"/>
  <c r="H5" i="1" s="1"/>
  <c r="C6" i="1"/>
  <c r="C7" i="1"/>
  <c r="C8" i="1"/>
  <c r="C9" i="1"/>
  <c r="C10" i="1"/>
  <c r="H10" i="1" s="1"/>
  <c r="C11" i="1"/>
  <c r="E11" i="1" s="1"/>
  <c r="G11" i="1" s="1"/>
  <c r="C12" i="1"/>
  <c r="C13" i="1"/>
  <c r="E13" i="1" s="1"/>
  <c r="G13" i="1" s="1"/>
  <c r="C14" i="1"/>
  <c r="C15" i="1"/>
  <c r="C16" i="1"/>
  <c r="C17" i="1"/>
  <c r="C18" i="1"/>
  <c r="C19" i="1"/>
  <c r="E19" i="1" s="1"/>
  <c r="G19" i="1" s="1"/>
  <c r="C20" i="1"/>
  <c r="C4" i="2"/>
  <c r="C5" i="2"/>
  <c r="C6" i="2"/>
  <c r="C7" i="2"/>
  <c r="C8" i="2"/>
  <c r="C9" i="2"/>
  <c r="C10" i="2"/>
  <c r="C11" i="2"/>
  <c r="C12" i="2"/>
  <c r="C13" i="2"/>
  <c r="C3" i="2"/>
  <c r="C3" i="1" s="1"/>
  <c r="E20" i="1" l="1"/>
  <c r="G20" i="1" s="1"/>
  <c r="E3" i="1"/>
  <c r="G3" i="1" s="1"/>
  <c r="H3" i="1" s="1"/>
  <c r="H20" i="1"/>
  <c r="L20" i="1" s="1"/>
  <c r="E17" i="1"/>
  <c r="G17" i="1" s="1"/>
  <c r="H17" i="1"/>
  <c r="E16" i="1"/>
  <c r="G16" i="1" s="1"/>
  <c r="H16" i="1"/>
  <c r="E15" i="1"/>
  <c r="G15" i="1" s="1"/>
  <c r="E14" i="1"/>
  <c r="G14" i="1" s="1"/>
  <c r="L10" i="1"/>
  <c r="I10" i="1"/>
  <c r="K10" i="1" s="1"/>
  <c r="M10" i="1" s="1"/>
  <c r="H6" i="1"/>
  <c r="L5" i="1"/>
  <c r="I5" i="1"/>
  <c r="J5" i="1"/>
  <c r="I20" i="1"/>
  <c r="J20" i="1"/>
  <c r="I19" i="1"/>
  <c r="J19" i="1"/>
  <c r="L19" i="1"/>
  <c r="E18" i="1"/>
  <c r="G18" i="1" s="1"/>
  <c r="H18" i="1"/>
  <c r="H11" i="1"/>
  <c r="H15" i="1"/>
  <c r="H14" i="1"/>
  <c r="H13" i="1"/>
  <c r="C21" i="1"/>
  <c r="C22" i="1"/>
  <c r="C23" i="1"/>
  <c r="C24" i="1"/>
  <c r="I3" i="1"/>
  <c r="J3" i="1"/>
  <c r="L3" i="1"/>
  <c r="E12" i="1"/>
  <c r="G12" i="1" s="1"/>
  <c r="H12" i="1" s="1"/>
  <c r="E9" i="1"/>
  <c r="G9" i="1" s="1"/>
  <c r="H9" i="1" s="1"/>
  <c r="E8" i="1"/>
  <c r="G8" i="1" s="1"/>
  <c r="H8" i="1" s="1"/>
  <c r="E7" i="1"/>
  <c r="G7" i="1" s="1"/>
  <c r="H7" i="1" s="1"/>
  <c r="E6" i="1"/>
  <c r="G6" i="1" s="1"/>
  <c r="E4" i="1"/>
  <c r="G4" i="1" s="1"/>
  <c r="J8" i="1" l="1"/>
  <c r="L8" i="1"/>
  <c r="I8" i="1"/>
  <c r="K8" i="1" s="1"/>
  <c r="M8" i="1"/>
  <c r="L9" i="1"/>
  <c r="I9" i="1"/>
  <c r="J9" i="1"/>
  <c r="O10" i="1"/>
  <c r="N10" i="1"/>
  <c r="P10" i="1" s="1"/>
  <c r="Q10" i="1" s="1"/>
  <c r="K20" i="1"/>
  <c r="M20" i="1" s="1"/>
  <c r="J12" i="1"/>
  <c r="L12" i="1"/>
  <c r="K5" i="1"/>
  <c r="M5" i="1" s="1"/>
  <c r="J6" i="1"/>
  <c r="L6" i="1"/>
  <c r="I6" i="1"/>
  <c r="J13" i="1"/>
  <c r="L13" i="1"/>
  <c r="I13" i="1"/>
  <c r="K13" i="1" s="1"/>
  <c r="M13" i="1" s="1"/>
  <c r="J14" i="1"/>
  <c r="L14" i="1"/>
  <c r="I14" i="1"/>
  <c r="K14" i="1" s="1"/>
  <c r="M14" i="1" s="1"/>
  <c r="J15" i="1"/>
  <c r="L15" i="1"/>
  <c r="I15" i="1"/>
  <c r="K15" i="1" s="1"/>
  <c r="M15" i="1" s="1"/>
  <c r="I11" i="1"/>
  <c r="L11" i="1"/>
  <c r="J11" i="1"/>
  <c r="I18" i="1"/>
  <c r="K18" i="1" s="1"/>
  <c r="M18" i="1" s="1"/>
  <c r="L18" i="1"/>
  <c r="J18" i="1"/>
  <c r="L16" i="1"/>
  <c r="J16" i="1"/>
  <c r="I16" i="1"/>
  <c r="K16" i="1" s="1"/>
  <c r="M16" i="1"/>
  <c r="J17" i="1"/>
  <c r="L17" i="1"/>
  <c r="I17" i="1"/>
  <c r="K17" i="1" s="1"/>
  <c r="M17" i="1"/>
  <c r="K19" i="1"/>
  <c r="M19" i="1" s="1"/>
  <c r="G22" i="1"/>
  <c r="G21" i="1"/>
  <c r="G24" i="1"/>
  <c r="G23" i="1"/>
  <c r="H4" i="1"/>
  <c r="L7" i="1"/>
  <c r="I7" i="1"/>
  <c r="K7" i="1" s="1"/>
  <c r="M7" i="1" s="1"/>
  <c r="J7" i="1"/>
  <c r="K3" i="1"/>
  <c r="M3" i="1" s="1"/>
  <c r="I12" i="1"/>
  <c r="K12" i="1" s="1"/>
  <c r="M12" i="1" s="1"/>
  <c r="O13" i="1" l="1"/>
  <c r="N13" i="1"/>
  <c r="P13" i="1" s="1"/>
  <c r="Q13" i="1" s="1"/>
  <c r="O12" i="1"/>
  <c r="N12" i="1"/>
  <c r="P12" i="1" s="1"/>
  <c r="Q12" i="1" s="1"/>
  <c r="N18" i="1"/>
  <c r="O18" i="1"/>
  <c r="P18" i="1"/>
  <c r="Q18" i="1"/>
  <c r="N15" i="1"/>
  <c r="O15" i="1"/>
  <c r="P15" i="1"/>
  <c r="Q15" i="1" s="1"/>
  <c r="N14" i="1"/>
  <c r="O14" i="1"/>
  <c r="P14" i="1"/>
  <c r="Q14" i="1"/>
  <c r="N3" i="1"/>
  <c r="O3" i="1"/>
  <c r="N7" i="1"/>
  <c r="O7" i="1"/>
  <c r="P7" i="1"/>
  <c r="Q7" i="1" s="1"/>
  <c r="N5" i="1"/>
  <c r="O5" i="1"/>
  <c r="P5" i="1"/>
  <c r="Q5" i="1" s="1"/>
  <c r="K11" i="1"/>
  <c r="M11" i="1" s="1"/>
  <c r="O20" i="1"/>
  <c r="N20" i="1"/>
  <c r="O19" i="1"/>
  <c r="N19" i="1"/>
  <c r="P19" i="1" s="1"/>
  <c r="Q19" i="1" s="1"/>
  <c r="N17" i="1"/>
  <c r="P17" i="1" s="1"/>
  <c r="Q17" i="1" s="1"/>
  <c r="O17" i="1"/>
  <c r="K9" i="1"/>
  <c r="M9" i="1" s="1"/>
  <c r="N16" i="1"/>
  <c r="O16" i="1"/>
  <c r="P16" i="1"/>
  <c r="Q16" i="1" s="1"/>
  <c r="N8" i="1"/>
  <c r="P8" i="1" s="1"/>
  <c r="Q8" i="1" s="1"/>
  <c r="O8" i="1"/>
  <c r="K6" i="1"/>
  <c r="M6" i="1" s="1"/>
  <c r="H22" i="1"/>
  <c r="I4" i="1"/>
  <c r="J4" i="1"/>
  <c r="L4" i="1"/>
  <c r="H23" i="1"/>
  <c r="H21" i="1"/>
  <c r="H24" i="1"/>
  <c r="P3" i="1" l="1"/>
  <c r="Q3" i="1" s="1"/>
  <c r="P20" i="1"/>
  <c r="Q20" i="1" s="1"/>
  <c r="O6" i="1"/>
  <c r="N6" i="1"/>
  <c r="P6" i="1"/>
  <c r="Q6" i="1" s="1"/>
  <c r="O11" i="1"/>
  <c r="N11" i="1"/>
  <c r="P11" i="1" s="1"/>
  <c r="Q11" i="1" s="1"/>
  <c r="N9" i="1"/>
  <c r="P9" i="1" s="1"/>
  <c r="Q9" i="1" s="1"/>
  <c r="O9" i="1"/>
  <c r="L22" i="1"/>
  <c r="L21" i="1"/>
  <c r="R21" i="1" s="1"/>
  <c r="S21" i="1" s="1"/>
  <c r="L23" i="1"/>
  <c r="L24" i="1"/>
  <c r="K4" i="1"/>
  <c r="K22" i="1" l="1"/>
  <c r="K21" i="1"/>
  <c r="K23" i="1"/>
  <c r="K24" i="1"/>
  <c r="M4" i="1"/>
  <c r="O4" i="1" l="1"/>
  <c r="M23" i="1"/>
  <c r="M21" i="1"/>
  <c r="M24" i="1"/>
  <c r="N4" i="1"/>
  <c r="M22" i="1"/>
  <c r="P4" i="1" l="1"/>
  <c r="P22" i="1"/>
  <c r="P23" i="1"/>
  <c r="P21" i="1"/>
  <c r="P24" i="1"/>
  <c r="Q4" i="1"/>
  <c r="Q24" i="1" l="1"/>
  <c r="Q22" i="1"/>
  <c r="Q23" i="1"/>
  <c r="Q21" i="1"/>
</calcChain>
</file>

<file path=xl/sharedStrings.xml><?xml version="1.0" encoding="utf-8"?>
<sst xmlns="http://schemas.openxmlformats.org/spreadsheetml/2006/main" count="100" uniqueCount="66">
  <si>
    <t>Folha de Pagamentos</t>
  </si>
  <si>
    <t>Funcionário</t>
  </si>
  <si>
    <t>Camilla Piva da Silva</t>
  </si>
  <si>
    <t>Carla Carota Mozena</t>
  </si>
  <si>
    <t>Carlos Augusto Rodrigues</t>
  </si>
  <si>
    <t>Carlos Henrique de Oliveira Siqueira</t>
  </si>
  <si>
    <t>Cicero Ruan Soares Baborsa</t>
  </si>
  <si>
    <t>Erick da Silva de Jesus</t>
  </si>
  <si>
    <t>Gabriella Godoi Avila</t>
  </si>
  <si>
    <t>Guilherme Carvalho de Oliveira</t>
  </si>
  <si>
    <t>Igor Henrique Gonçalves</t>
  </si>
  <si>
    <t>Jaqueline de Faria Rodrigues</t>
  </si>
  <si>
    <t>João Victor Colosso</t>
  </si>
  <si>
    <t>João Vitor Castro Viana Marques</t>
  </si>
  <si>
    <t>Leticia Aparecido Hofman de Souza</t>
  </si>
  <si>
    <t>Maria Fernanda Mattoso Oliveira Rello</t>
  </si>
  <si>
    <t>Mirella França de Almeida</t>
  </si>
  <si>
    <t>Otávio Bassi de Freitas</t>
  </si>
  <si>
    <t>Otavio Lima Bueno</t>
  </si>
  <si>
    <t>Pedro Henrique Pereira Sanches</t>
  </si>
  <si>
    <t>Cargo</t>
  </si>
  <si>
    <t>Salário Base</t>
  </si>
  <si>
    <t>H. Extras</t>
  </si>
  <si>
    <t>H. Extras R$</t>
  </si>
  <si>
    <t>INSS %</t>
  </si>
  <si>
    <t>INSS R$</t>
  </si>
  <si>
    <t>FGTS R$</t>
  </si>
  <si>
    <t>Salário mínimo</t>
  </si>
  <si>
    <t>Cargos e Salários</t>
  </si>
  <si>
    <t>Fator</t>
  </si>
  <si>
    <t>Salário</t>
  </si>
  <si>
    <t>Estagiário</t>
  </si>
  <si>
    <t>Aprendiz</t>
  </si>
  <si>
    <t>Auxiliar Adm</t>
  </si>
  <si>
    <t>Recepcionista</t>
  </si>
  <si>
    <t>Auxiliar Produção</t>
  </si>
  <si>
    <t>Operador de Produção</t>
  </si>
  <si>
    <t>Encarregado</t>
  </si>
  <si>
    <t>Gerente</t>
  </si>
  <si>
    <t>Auxiliar Limpeza</t>
  </si>
  <si>
    <t>Hora Mês</t>
  </si>
  <si>
    <t>Diretor</t>
  </si>
  <si>
    <t>Supervisor</t>
  </si>
  <si>
    <t>Horas mês</t>
  </si>
  <si>
    <t>Sala hora</t>
  </si>
  <si>
    <t>Teto</t>
  </si>
  <si>
    <t>Deduzir</t>
  </si>
  <si>
    <t>Porcentagem</t>
  </si>
  <si>
    <t>Tabela de INSS 2025</t>
  </si>
  <si>
    <t>Acima de</t>
  </si>
  <si>
    <t>Salário Bruto</t>
  </si>
  <si>
    <t>Salário Líquido</t>
  </si>
  <si>
    <t>Tabela de IRRF 2025</t>
  </si>
  <si>
    <t>De</t>
  </si>
  <si>
    <t>IRRF%</t>
  </si>
  <si>
    <t>IR Deduzir</t>
  </si>
  <si>
    <t>IRRF R$</t>
  </si>
  <si>
    <t>Sal. Final</t>
  </si>
  <si>
    <t>Estatísticas</t>
  </si>
  <si>
    <t>Total (Soma)</t>
  </si>
  <si>
    <t>Média</t>
  </si>
  <si>
    <t>Maximo</t>
  </si>
  <si>
    <t>Mínimo</t>
  </si>
  <si>
    <t>Total Folha</t>
  </si>
  <si>
    <t>Compulsório</t>
  </si>
  <si>
    <t>Horas 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</si>
</sst>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44" fontId="0" fillId="0" borderId="0" xfId="1" applyFont="1"/>
    <xf numFmtId="0" fontId="1" fillId="0" borderId="0" xfId="1" applyNumberFormat="1" applyFont="1"/>
    <xf numFmtId="44" fontId="1" fillId="0" borderId="0" xfId="1" applyFont="1"/>
    <xf numFmtId="44" fontId="0" fillId="0" borderId="0" xfId="0" applyNumberFormat="1"/>
    <xf numFmtId="10" fontId="0" fillId="0" borderId="0" xfId="0" applyNumberFormat="1"/>
    <xf numFmtId="9" fontId="0" fillId="0" borderId="0" xfId="0" applyNumberFormat="1"/>
    <xf numFmtId="164" fontId="0" fillId="0" borderId="0" xfId="2" applyNumberFormat="1" applyFont="1"/>
    <xf numFmtId="164" fontId="0" fillId="0" borderId="0" xfId="0" applyNumberFormat="1"/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5" Type="http://schemas.openxmlformats.org/officeDocument/2006/relationships/worksheet" Target="worksheets/sheet4.xml"/><Relationship Id="rId10" Type="http://schemas.openxmlformats.org/officeDocument/2006/relationships/calcChain" Target="calcChain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Pagamentos!$F$2</c:f>
              <c:strCache>
                <c:ptCount val="1"/>
                <c:pt idx="0">
                  <c:v>H. Extras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Pagamentos!$B$3:$B$20</c:f>
              <c:strCache>
                <c:ptCount val="18"/>
                <c:pt idx="0">
                  <c:v>Aprendiz</c:v>
                </c:pt>
                <c:pt idx="1">
                  <c:v>Auxiliar Adm</c:v>
                </c:pt>
                <c:pt idx="2">
                  <c:v>Auxiliar Limpeza</c:v>
                </c:pt>
                <c:pt idx="3">
                  <c:v>Auxiliar Produção</c:v>
                </c:pt>
                <c:pt idx="4">
                  <c:v>Diretor</c:v>
                </c:pt>
                <c:pt idx="5">
                  <c:v>Encarregado</c:v>
                </c:pt>
                <c:pt idx="6">
                  <c:v>Estagiário</c:v>
                </c:pt>
                <c:pt idx="7">
                  <c:v>Gerente</c:v>
                </c:pt>
                <c:pt idx="8">
                  <c:v>Operador de Produção</c:v>
                </c:pt>
                <c:pt idx="9">
                  <c:v>Recepcionista</c:v>
                </c:pt>
                <c:pt idx="10">
                  <c:v>Supervisor</c:v>
                </c:pt>
                <c:pt idx="11">
                  <c:v>Operador de Produção</c:v>
                </c:pt>
                <c:pt idx="12">
                  <c:v>Operador de Produção</c:v>
                </c:pt>
                <c:pt idx="13">
                  <c:v>Auxiliar Produção</c:v>
                </c:pt>
                <c:pt idx="14">
                  <c:v>Auxiliar Produção</c:v>
                </c:pt>
                <c:pt idx="15">
                  <c:v>Auxiliar Produção</c:v>
                </c:pt>
                <c:pt idx="16">
                  <c:v>Auxiliar Limpeza</c:v>
                </c:pt>
                <c:pt idx="17">
                  <c:v>Auxiliar Adm</c:v>
                </c:pt>
              </c:strCache>
            </c:strRef>
          </c:cat>
          <c:val>
            <c:numRef>
              <c:f>Pagamentos!$F$3:$F$20</c:f>
              <c:numCache>
                <c:formatCode>General</c:formatCode>
                <c:ptCount val="18"/>
                <c:pt idx="0">
                  <c:v>15</c:v>
                </c:pt>
                <c:pt idx="1">
                  <c:v>17</c:v>
                </c:pt>
                <c:pt idx="2">
                  <c:v>5</c:v>
                </c:pt>
                <c:pt idx="3">
                  <c:v>30</c:v>
                </c:pt>
                <c:pt idx="4">
                  <c:v>0</c:v>
                </c:pt>
                <c:pt idx="5">
                  <c:v>10</c:v>
                </c:pt>
                <c:pt idx="6">
                  <c:v>12</c:v>
                </c:pt>
                <c:pt idx="7">
                  <c:v>0</c:v>
                </c:pt>
                <c:pt idx="8">
                  <c:v>12</c:v>
                </c:pt>
                <c:pt idx="9">
                  <c:v>18</c:v>
                </c:pt>
                <c:pt idx="10">
                  <c:v>0</c:v>
                </c:pt>
                <c:pt idx="11">
                  <c:v>28</c:v>
                </c:pt>
                <c:pt idx="12">
                  <c:v>24</c:v>
                </c:pt>
                <c:pt idx="13">
                  <c:v>30</c:v>
                </c:pt>
                <c:pt idx="14">
                  <c:v>22</c:v>
                </c:pt>
                <c:pt idx="15">
                  <c:v>5</c:v>
                </c:pt>
                <c:pt idx="16">
                  <c:v>6</c:v>
                </c:pt>
                <c:pt idx="1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7-4944-BA23-C78678BAF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0935439"/>
        <c:axId val="240934959"/>
      </c:barChart>
      <c:catAx>
        <c:axId val="24093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0934959"/>
        <c:crosses val="autoZero"/>
        <c:auto val="1"/>
        <c:lblAlgn val="ctr"/>
        <c:lblOffset val="100"/>
        <c:noMultiLvlLbl val="0"/>
      </c:catAx>
      <c:valAx>
        <c:axId val="24093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093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7007580551410659"/>
          <c:y val="0.21164783577267773"/>
          <c:w val="0.60515580560504589"/>
          <c:h val="0.6774875786193194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Pagamentos!$C$2</c:f>
              <c:strCache>
                <c:ptCount val="1"/>
                <c:pt idx="0">
                  <c:v>Salário 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Pagamentos!$B$3:$B$20</c:f>
              <c:strCache>
                <c:ptCount val="18"/>
                <c:pt idx="0">
                  <c:v>Aprendiz</c:v>
                </c:pt>
                <c:pt idx="1">
                  <c:v>Auxiliar Adm</c:v>
                </c:pt>
                <c:pt idx="2">
                  <c:v>Auxiliar Limpeza</c:v>
                </c:pt>
                <c:pt idx="3">
                  <c:v>Auxiliar Produção</c:v>
                </c:pt>
                <c:pt idx="4">
                  <c:v>Diretor</c:v>
                </c:pt>
                <c:pt idx="5">
                  <c:v>Encarregado</c:v>
                </c:pt>
                <c:pt idx="6">
                  <c:v>Estagiário</c:v>
                </c:pt>
                <c:pt idx="7">
                  <c:v>Gerente</c:v>
                </c:pt>
                <c:pt idx="8">
                  <c:v>Operador de Produção</c:v>
                </c:pt>
                <c:pt idx="9">
                  <c:v>Recepcionista</c:v>
                </c:pt>
                <c:pt idx="10">
                  <c:v>Supervisor</c:v>
                </c:pt>
                <c:pt idx="11">
                  <c:v>Operador de Produção</c:v>
                </c:pt>
                <c:pt idx="12">
                  <c:v>Operador de Produção</c:v>
                </c:pt>
                <c:pt idx="13">
                  <c:v>Auxiliar Produção</c:v>
                </c:pt>
                <c:pt idx="14">
                  <c:v>Auxiliar Produção</c:v>
                </c:pt>
                <c:pt idx="15">
                  <c:v>Auxiliar Produção</c:v>
                </c:pt>
                <c:pt idx="16">
                  <c:v>Auxiliar Limpeza</c:v>
                </c:pt>
                <c:pt idx="17">
                  <c:v>Auxiliar Adm</c:v>
                </c:pt>
              </c:strCache>
            </c:strRef>
          </c:cat>
          <c:val>
            <c:numRef>
              <c:f>Pagamentos!$C$3:$C$20</c:f>
              <c:numCache>
                <c:formatCode>_("R$"* #,##0.00_);_("R$"* \(#,##0.00\);_("R$"* "-"??_);_(@_)</c:formatCode>
                <c:ptCount val="18"/>
                <c:pt idx="0">
                  <c:v>1214.4000000000001</c:v>
                </c:pt>
                <c:pt idx="1">
                  <c:v>2277</c:v>
                </c:pt>
                <c:pt idx="2">
                  <c:v>2277</c:v>
                </c:pt>
                <c:pt idx="3">
                  <c:v>1518</c:v>
                </c:pt>
                <c:pt idx="4">
                  <c:v>10626</c:v>
                </c:pt>
                <c:pt idx="5">
                  <c:v>4554</c:v>
                </c:pt>
                <c:pt idx="6">
                  <c:v>759</c:v>
                </c:pt>
                <c:pt idx="7">
                  <c:v>7590</c:v>
                </c:pt>
                <c:pt idx="8">
                  <c:v>3036</c:v>
                </c:pt>
                <c:pt idx="9">
                  <c:v>2277</c:v>
                </c:pt>
                <c:pt idx="10">
                  <c:v>3036</c:v>
                </c:pt>
                <c:pt idx="11">
                  <c:v>3036</c:v>
                </c:pt>
                <c:pt idx="12">
                  <c:v>3036</c:v>
                </c:pt>
                <c:pt idx="13">
                  <c:v>1518</c:v>
                </c:pt>
                <c:pt idx="14">
                  <c:v>1518</c:v>
                </c:pt>
                <c:pt idx="15">
                  <c:v>1518</c:v>
                </c:pt>
                <c:pt idx="16">
                  <c:v>2277</c:v>
                </c:pt>
                <c:pt idx="17">
                  <c:v>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60-4224-9B3C-81D5B359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47773039"/>
        <c:axId val="247771119"/>
      </c:barChart>
      <c:catAx>
        <c:axId val="247773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7771119"/>
        <c:crosses val="autoZero"/>
        <c:auto val="1"/>
        <c:lblAlgn val="ctr"/>
        <c:lblOffset val="100"/>
        <c:noMultiLvlLbl val="0"/>
      </c:catAx>
      <c:valAx>
        <c:axId val="24777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7773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Cargos!$E$2</c:f>
              <c:strCache>
                <c:ptCount val="1"/>
                <c:pt idx="0">
                  <c:v>Horas Extras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Cargos!$A$3:$A$13</c:f>
              <c:strCache>
                <c:ptCount val="11"/>
                <c:pt idx="0">
                  <c:v>Aprendiz</c:v>
                </c:pt>
                <c:pt idx="1">
                  <c:v>Auxiliar Adm</c:v>
                </c:pt>
                <c:pt idx="2">
                  <c:v>Auxiliar Limpeza</c:v>
                </c:pt>
                <c:pt idx="3">
                  <c:v>Auxiliar Produção</c:v>
                </c:pt>
                <c:pt idx="4">
                  <c:v>Diretor</c:v>
                </c:pt>
                <c:pt idx="5">
                  <c:v>Encarregado</c:v>
                </c:pt>
                <c:pt idx="6">
                  <c:v>Estagiário</c:v>
                </c:pt>
                <c:pt idx="7">
                  <c:v>Gerente</c:v>
                </c:pt>
                <c:pt idx="8">
                  <c:v>Operador de Produção</c:v>
                </c:pt>
                <c:pt idx="9">
                  <c:v>Recepcionista</c:v>
                </c:pt>
                <c:pt idx="10">
                  <c:v>Supervisor</c:v>
                </c:pt>
              </c:strCache>
            </c:strRef>
          </c:cat>
          <c:val>
            <c:numRef>
              <c:f>Cargos!$E$3:$E$13</c:f>
              <c:numCache>
                <c:formatCode>General</c:formatCode>
                <c:ptCount val="11"/>
                <c:pt idx="0">
                  <c:v>15</c:v>
                </c:pt>
                <c:pt idx="1">
                  <c:v>26</c:v>
                </c:pt>
                <c:pt idx="2">
                  <c:v>11</c:v>
                </c:pt>
                <c:pt idx="3">
                  <c:v>87</c:v>
                </c:pt>
                <c:pt idx="4">
                  <c:v>0</c:v>
                </c:pt>
                <c:pt idx="5">
                  <c:v>10</c:v>
                </c:pt>
                <c:pt idx="6">
                  <c:v>12</c:v>
                </c:pt>
                <c:pt idx="7">
                  <c:v>0</c:v>
                </c:pt>
                <c:pt idx="8">
                  <c:v>64</c:v>
                </c:pt>
                <c:pt idx="9">
                  <c:v>18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90-4F73-9EDB-CC08E38AD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3728895"/>
        <c:axId val="373727935"/>
      </c:barChart>
      <c:catAx>
        <c:axId val="373728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727935"/>
        <c:crosses val="autoZero"/>
        <c:auto val="1"/>
        <c:lblAlgn val="ctr"/>
        <c:lblOffset val="100"/>
        <c:noMultiLvlLbl val="0"/>
      </c:catAx>
      <c:valAx>
        <c:axId val="37372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728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8CBE93-AE44-4DA1-B639-D01C6AD0BFC6}">
  <sheetPr/>
  <sheetViews>
    <sheetView zoomScale="190" workbookViewId="0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0</xdr:rowOff>
    </xdr:from>
    <xdr:to>
      <xdr:col>19</xdr:col>
      <xdr:colOff>57151</xdr:colOff>
      <xdr:row>38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C81A6-FD48-4F22-A55E-69CDC18F3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2639122" cy="222559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72759B3-9201-B019-F396-F7FABBADAC6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0</xdr:row>
      <xdr:rowOff>29307</xdr:rowOff>
    </xdr:from>
    <xdr:to>
      <xdr:col>16</xdr:col>
      <xdr:colOff>542192</xdr:colOff>
      <xdr:row>19</xdr:row>
      <xdr:rowOff>36634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A53549-B28C-DE6A-9DC2-FBD76DE82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40315-C2BC-4C0D-918B-3F23DD52307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22E34-FBB9-4C8B-A28E-3DF59708295C}">
  <dimension ref="A1:S24"/>
  <sheetViews>
    <sheetView zoomScaleNormal="100" workbookViewId="0">
      <selection activeCell="B20" sqref="B20"/>
    </sheetView>
  </sheetViews>
  <sheetFormatPr defaultRowHeight="15" x14ac:dyDescent="0.25"/>
  <cols>
    <col min="1" max="1" width="35.5703125" bestFit="1" customWidth="1"/>
    <col min="2" max="2" width="21.42578125" bestFit="1" customWidth="1"/>
    <col min="3" max="3" width="13.28515625" bestFit="1" customWidth="1"/>
    <col min="4" max="4" width="12.140625" bestFit="1" customWidth="1"/>
    <col min="5" max="6" width="10.5703125" bestFit="1" customWidth="1"/>
    <col min="7" max="7" width="12.140625" bestFit="1" customWidth="1"/>
    <col min="8" max="8" width="13.28515625" bestFit="1" customWidth="1"/>
    <col min="9" max="9" width="8.5703125" bestFit="1" customWidth="1"/>
    <col min="10" max="12" width="12.140625" bestFit="1" customWidth="1"/>
    <col min="13" max="13" width="14.42578125" bestFit="1" customWidth="1"/>
    <col min="14" max="14" width="8.5703125" bestFit="1" customWidth="1"/>
    <col min="15" max="16" width="12.140625" bestFit="1" customWidth="1"/>
    <col min="17" max="18" width="13.28515625" bestFit="1" customWidth="1"/>
    <col min="19" max="19" width="12.42578125" bestFit="1" customWidth="1"/>
  </cols>
  <sheetData>
    <row r="1" spans="1:17" x14ac:dyDescent="0.25">
      <c r="A1" s="1" t="s">
        <v>0</v>
      </c>
    </row>
    <row r="2" spans="1:17" x14ac:dyDescent="0.25">
      <c r="A2" s="1" t="s">
        <v>1</v>
      </c>
      <c r="B2" s="1" t="s">
        <v>20</v>
      </c>
      <c r="C2" s="1" t="s">
        <v>21</v>
      </c>
      <c r="D2" s="1" t="s">
        <v>43</v>
      </c>
      <c r="E2" s="1" t="s">
        <v>44</v>
      </c>
      <c r="F2" s="1" t="s">
        <v>22</v>
      </c>
      <c r="G2" s="1" t="s">
        <v>23</v>
      </c>
      <c r="H2" s="1" t="s">
        <v>50</v>
      </c>
      <c r="I2" s="1" t="s">
        <v>24</v>
      </c>
      <c r="J2" s="1" t="s">
        <v>46</v>
      </c>
      <c r="K2" s="1" t="s">
        <v>25</v>
      </c>
      <c r="L2" s="1" t="s">
        <v>26</v>
      </c>
      <c r="M2" s="1" t="s">
        <v>51</v>
      </c>
      <c r="N2" s="1" t="s">
        <v>54</v>
      </c>
      <c r="O2" s="1" t="s">
        <v>55</v>
      </c>
      <c r="P2" s="1" t="s">
        <v>56</v>
      </c>
      <c r="Q2" s="1" t="s">
        <v>57</v>
      </c>
    </row>
    <row r="3" spans="1:17" x14ac:dyDescent="0.25">
      <c r="A3" t="s">
        <v>2</v>
      </c>
      <c r="B3" t="s">
        <v>32</v>
      </c>
      <c r="C3" s="2">
        <f>VLOOKUP(B3,Cargos!$A$3:$D$13,3)</f>
        <v>1214.4000000000001</v>
      </c>
      <c r="D3" s="3">
        <f>VLOOKUP(B3,Cargos!$A$3:$D$13,4)</f>
        <v>110</v>
      </c>
      <c r="E3" s="4">
        <f>C3/D3</f>
        <v>11.040000000000001</v>
      </c>
      <c r="F3">
        <v>15</v>
      </c>
      <c r="G3" s="5">
        <f>E3*F3*1.5</f>
        <v>248.40000000000003</v>
      </c>
      <c r="H3" s="5">
        <f>C3+G3</f>
        <v>1462.8000000000002</v>
      </c>
      <c r="I3" s="8">
        <f>VLOOKUP(H3,INSS!$B$3:$D$7,3)</f>
        <v>7.4999999999999997E-2</v>
      </c>
      <c r="J3" s="2">
        <f>VLOOKUP(H3,INSS!$B$3:$D$7,2)</f>
        <v>0</v>
      </c>
      <c r="K3" s="5">
        <f>IF(I3&lt;&gt;"Teto",H3*I3-J3,INSS!$F$7)</f>
        <v>109.71000000000001</v>
      </c>
      <c r="L3" s="5">
        <f>H3*8%</f>
        <v>117.02400000000002</v>
      </c>
      <c r="M3" s="5">
        <f>H3-K3</f>
        <v>1353.0900000000001</v>
      </c>
      <c r="N3" s="8">
        <f>VLOOKUP(M3,IRRF!$B$3:$D$7,3)</f>
        <v>0</v>
      </c>
      <c r="O3" s="5">
        <f>VLOOKUP(M3,IRRF!$B$3:$D$7,2)</f>
        <v>0</v>
      </c>
      <c r="P3" s="5">
        <f>M3*N3-O3</f>
        <v>0</v>
      </c>
      <c r="Q3" s="5">
        <f>M3-P3</f>
        <v>1353.0900000000001</v>
      </c>
    </row>
    <row r="4" spans="1:17" x14ac:dyDescent="0.25">
      <c r="A4" t="s">
        <v>3</v>
      </c>
      <c r="B4" t="s">
        <v>33</v>
      </c>
      <c r="C4" s="2">
        <f>VLOOKUP(B4,Cargos!$A$3:$D$13,3)</f>
        <v>2277</v>
      </c>
      <c r="D4" s="3">
        <f>VLOOKUP(B4,Cargos!$A$3:$D$13,4)</f>
        <v>220</v>
      </c>
      <c r="E4" s="4">
        <f t="shared" ref="E4:E20" si="0">C4/D4</f>
        <v>10.35</v>
      </c>
      <c r="F4">
        <v>17</v>
      </c>
      <c r="G4" s="5">
        <f t="shared" ref="G4:G20" si="1">E4*F4*1.5</f>
        <v>263.92499999999995</v>
      </c>
      <c r="H4" s="5">
        <f t="shared" ref="H4:H20" si="2">C4+G4</f>
        <v>2540.9250000000002</v>
      </c>
      <c r="I4" s="8">
        <f>VLOOKUP(H4,INSS!$B$3:$D$7,3)</f>
        <v>0.09</v>
      </c>
      <c r="J4" s="2">
        <f>VLOOKUP(H4,INSS!$B$3:$D$7,2)</f>
        <v>22.77</v>
      </c>
      <c r="K4" s="5">
        <f>IF(I4&lt;&gt;"Teto",H4*I4-J4,INSS!$F$7)</f>
        <v>205.91325000000001</v>
      </c>
      <c r="L4" s="5">
        <f t="shared" ref="L4:L20" si="3">H4*8%</f>
        <v>203.27400000000003</v>
      </c>
      <c r="M4" s="5">
        <f t="shared" ref="M4:M20" si="4">H4-K4</f>
        <v>2335.0117500000001</v>
      </c>
      <c r="N4" s="8">
        <f>VLOOKUP(M4,IRRF!$B$3:$D$7,3)</f>
        <v>7.4999999999999997E-2</v>
      </c>
      <c r="O4" s="5">
        <f>VLOOKUP(M4,IRRF!$B$3:$D$7,2)</f>
        <v>169.44</v>
      </c>
      <c r="P4" s="5">
        <f t="shared" ref="P4:P20" si="5">M4*N4-O4</f>
        <v>5.6858812499999942</v>
      </c>
      <c r="Q4" s="5">
        <f t="shared" ref="Q4:Q20" si="6">M4-P4</f>
        <v>2329.3258687500002</v>
      </c>
    </row>
    <row r="5" spans="1:17" x14ac:dyDescent="0.25">
      <c r="A5" t="s">
        <v>4</v>
      </c>
      <c r="B5" t="s">
        <v>39</v>
      </c>
      <c r="C5" s="2">
        <f>VLOOKUP(B5,Cargos!$A$3:$D$13,3)</f>
        <v>2277</v>
      </c>
      <c r="D5" s="3">
        <f>VLOOKUP(B5,Cargos!$A$3:$D$13,4)</f>
        <v>220</v>
      </c>
      <c r="E5" s="4">
        <f>C5/D5</f>
        <v>10.35</v>
      </c>
      <c r="F5">
        <v>5</v>
      </c>
      <c r="G5" s="5">
        <f t="shared" si="1"/>
        <v>77.625</v>
      </c>
      <c r="H5" s="5">
        <f t="shared" si="2"/>
        <v>2354.625</v>
      </c>
      <c r="I5" s="8">
        <f>VLOOKUP(H5,INSS!$B$3:$D$7,3)</f>
        <v>0.09</v>
      </c>
      <c r="J5" s="2">
        <f>VLOOKUP(H5,INSS!$B$3:$D$7,2)</f>
        <v>22.77</v>
      </c>
      <c r="K5" s="5">
        <f>IF(I5&lt;&gt;"Teto",H5*I5-J5,INSS!$F$7)</f>
        <v>189.14624999999998</v>
      </c>
      <c r="L5" s="5">
        <f t="shared" si="3"/>
        <v>188.37</v>
      </c>
      <c r="M5" s="5">
        <f t="shared" si="4"/>
        <v>2165.4787500000002</v>
      </c>
      <c r="N5" s="8">
        <f>VLOOKUP(M5,IRRF!$B$3:$D$7,3)</f>
        <v>0</v>
      </c>
      <c r="O5" s="5">
        <f>VLOOKUP(M5,IRRF!$B$3:$D$7,2)</f>
        <v>0</v>
      </c>
      <c r="P5" s="5">
        <f t="shared" si="5"/>
        <v>0</v>
      </c>
      <c r="Q5" s="5">
        <f t="shared" si="6"/>
        <v>2165.4787500000002</v>
      </c>
    </row>
    <row r="6" spans="1:17" x14ac:dyDescent="0.25">
      <c r="A6" t="s">
        <v>5</v>
      </c>
      <c r="B6" t="s">
        <v>35</v>
      </c>
      <c r="C6" s="2">
        <f>VLOOKUP(B6,Cargos!$A$3:$D$13,3)</f>
        <v>1518</v>
      </c>
      <c r="D6" s="3">
        <f>VLOOKUP(B6,Cargos!$A$3:$D$13,4)</f>
        <v>220</v>
      </c>
      <c r="E6" s="4">
        <f t="shared" si="0"/>
        <v>6.9</v>
      </c>
      <c r="F6">
        <v>30</v>
      </c>
      <c r="G6" s="5">
        <f t="shared" si="1"/>
        <v>310.5</v>
      </c>
      <c r="H6" s="5">
        <f t="shared" si="2"/>
        <v>1828.5</v>
      </c>
      <c r="I6" s="8">
        <f>VLOOKUP(H6,INSS!$B$3:$D$7,3)</f>
        <v>0.09</v>
      </c>
      <c r="J6" s="2">
        <f>VLOOKUP(H6,INSS!$B$3:$D$7,2)</f>
        <v>22.77</v>
      </c>
      <c r="K6" s="5">
        <f>IF(I6&lt;&gt;"Teto",H6*I6-J6,INSS!$F$7)</f>
        <v>141.79499999999999</v>
      </c>
      <c r="L6" s="5">
        <f t="shared" si="3"/>
        <v>146.28</v>
      </c>
      <c r="M6" s="5">
        <f t="shared" si="4"/>
        <v>1686.7049999999999</v>
      </c>
      <c r="N6" s="8">
        <f>VLOOKUP(M6,IRRF!$B$3:$D$7,3)</f>
        <v>0</v>
      </c>
      <c r="O6" s="5">
        <f>VLOOKUP(M6,IRRF!$B$3:$D$7,2)</f>
        <v>0</v>
      </c>
      <c r="P6" s="5">
        <f t="shared" si="5"/>
        <v>0</v>
      </c>
      <c r="Q6" s="5">
        <f t="shared" si="6"/>
        <v>1686.7049999999999</v>
      </c>
    </row>
    <row r="7" spans="1:17" x14ac:dyDescent="0.25">
      <c r="A7" t="s">
        <v>6</v>
      </c>
      <c r="B7" t="s">
        <v>41</v>
      </c>
      <c r="C7" s="2">
        <f>VLOOKUP(B7,Cargos!$A$3:$D$13,3)</f>
        <v>10626</v>
      </c>
      <c r="D7" s="3">
        <f>VLOOKUP(B7,Cargos!$A$3:$D$13,4)</f>
        <v>220</v>
      </c>
      <c r="E7" s="4">
        <f t="shared" si="0"/>
        <v>48.3</v>
      </c>
      <c r="F7">
        <v>0</v>
      </c>
      <c r="G7" s="5">
        <f t="shared" si="1"/>
        <v>0</v>
      </c>
      <c r="H7" s="5">
        <f t="shared" si="2"/>
        <v>10626</v>
      </c>
      <c r="I7" s="8" t="str">
        <f>VLOOKUP(H7,INSS!$B$3:$D$7,3)</f>
        <v>Teto</v>
      </c>
      <c r="J7" s="2" t="str">
        <f>VLOOKUP(H7,INSS!$B$3:$D$7,2)</f>
        <v>Teto</v>
      </c>
      <c r="K7" s="5">
        <f>IF(I7&lt;&gt;"Teto",H7*I7-J7,INSS!$F$7)</f>
        <v>951.61880000000008</v>
      </c>
      <c r="L7" s="5">
        <f t="shared" si="3"/>
        <v>850.08</v>
      </c>
      <c r="M7" s="5">
        <f t="shared" si="4"/>
        <v>9674.3811999999998</v>
      </c>
      <c r="N7" s="8">
        <f>VLOOKUP(M7,IRRF!$B$3:$D$7,3)</f>
        <v>0.27500000000000002</v>
      </c>
      <c r="O7" s="5">
        <f>VLOOKUP(M7,IRRF!$B$3:$D$7,2)</f>
        <v>896</v>
      </c>
      <c r="P7" s="5">
        <f t="shared" si="5"/>
        <v>1764.4548300000001</v>
      </c>
      <c r="Q7" s="5">
        <f t="shared" si="6"/>
        <v>7909.9263699999992</v>
      </c>
    </row>
    <row r="8" spans="1:17" x14ac:dyDescent="0.25">
      <c r="A8" t="s">
        <v>7</v>
      </c>
      <c r="B8" t="s">
        <v>37</v>
      </c>
      <c r="C8" s="2">
        <f>VLOOKUP(B8,Cargos!$A$3:$D$13,3)</f>
        <v>4554</v>
      </c>
      <c r="D8" s="3">
        <f>VLOOKUP(B8,Cargos!$A$3:$D$13,4)</f>
        <v>220</v>
      </c>
      <c r="E8" s="4">
        <f t="shared" si="0"/>
        <v>20.7</v>
      </c>
      <c r="F8">
        <v>10</v>
      </c>
      <c r="G8" s="5">
        <f t="shared" si="1"/>
        <v>310.5</v>
      </c>
      <c r="H8" s="5">
        <f t="shared" si="2"/>
        <v>4864.5</v>
      </c>
      <c r="I8" s="8">
        <f>VLOOKUP(H8,INSS!$B$3:$D$7,3)</f>
        <v>0.14000000000000001</v>
      </c>
      <c r="J8" s="2">
        <f>VLOOKUP(H8,INSS!$B$3:$D$7,2)</f>
        <v>190.42</v>
      </c>
      <c r="K8" s="5">
        <f>IF(I8&lt;&gt;"Teto",H8*I8-J8,INSS!$F$7)</f>
        <v>490.61000000000013</v>
      </c>
      <c r="L8" s="5">
        <f t="shared" si="3"/>
        <v>389.16</v>
      </c>
      <c r="M8" s="5">
        <f t="shared" si="4"/>
        <v>4373.8899999999994</v>
      </c>
      <c r="N8" s="8">
        <f>VLOOKUP(M8,IRRF!$B$3:$D$7,3)</f>
        <v>0.22500000000000001</v>
      </c>
      <c r="O8" s="5">
        <f>VLOOKUP(M8,IRRF!$B$3:$D$7,2)</f>
        <v>662.77</v>
      </c>
      <c r="P8" s="5">
        <f t="shared" si="5"/>
        <v>321.35524999999996</v>
      </c>
      <c r="Q8" s="5">
        <f t="shared" si="6"/>
        <v>4052.5347499999993</v>
      </c>
    </row>
    <row r="9" spans="1:17" x14ac:dyDescent="0.25">
      <c r="A9" t="s">
        <v>8</v>
      </c>
      <c r="B9" t="s">
        <v>31</v>
      </c>
      <c r="C9" s="2">
        <f>VLOOKUP(B9,Cargos!$A$3:$D$13,3)</f>
        <v>759</v>
      </c>
      <c r="D9" s="3">
        <f>VLOOKUP(B9,Cargos!$A$3:$D$13,4)</f>
        <v>180</v>
      </c>
      <c r="E9" s="4">
        <f t="shared" si="0"/>
        <v>4.2166666666666668</v>
      </c>
      <c r="F9">
        <v>12</v>
      </c>
      <c r="G9" s="5">
        <f t="shared" si="1"/>
        <v>75.900000000000006</v>
      </c>
      <c r="H9" s="5">
        <f t="shared" si="2"/>
        <v>834.9</v>
      </c>
      <c r="I9" s="8">
        <f>VLOOKUP(H9,INSS!$B$3:$D$7,3)</f>
        <v>7.4999999999999997E-2</v>
      </c>
      <c r="J9" s="2">
        <f>VLOOKUP(H9,INSS!$B$3:$D$7,2)</f>
        <v>0</v>
      </c>
      <c r="K9" s="5">
        <f>IF(I9&lt;&gt;"Teto",H9*I9-J9,INSS!$F$7)</f>
        <v>62.617499999999993</v>
      </c>
      <c r="L9" s="5">
        <f t="shared" si="3"/>
        <v>66.792000000000002</v>
      </c>
      <c r="M9" s="5">
        <f t="shared" si="4"/>
        <v>772.28250000000003</v>
      </c>
      <c r="N9" s="8">
        <f>VLOOKUP(M9,IRRF!$B$3:$D$7,3)</f>
        <v>0</v>
      </c>
      <c r="O9" s="5">
        <f>VLOOKUP(M9,IRRF!$B$3:$D$7,2)</f>
        <v>0</v>
      </c>
      <c r="P9" s="5">
        <f t="shared" si="5"/>
        <v>0</v>
      </c>
      <c r="Q9" s="5">
        <f t="shared" si="6"/>
        <v>772.28250000000003</v>
      </c>
    </row>
    <row r="10" spans="1:17" x14ac:dyDescent="0.25">
      <c r="A10" t="s">
        <v>9</v>
      </c>
      <c r="B10" t="s">
        <v>38</v>
      </c>
      <c r="C10" s="2">
        <f>VLOOKUP(B10,Cargos!$A$3:$D$13,3)</f>
        <v>7590</v>
      </c>
      <c r="D10" s="3">
        <f>VLOOKUP(B10,Cargos!$A$3:$D$13,4)</f>
        <v>220</v>
      </c>
      <c r="E10" s="4">
        <f t="shared" si="0"/>
        <v>34.5</v>
      </c>
      <c r="F10">
        <v>0</v>
      </c>
      <c r="G10" s="5">
        <f t="shared" si="1"/>
        <v>0</v>
      </c>
      <c r="H10" s="5">
        <f t="shared" si="2"/>
        <v>7590</v>
      </c>
      <c r="I10" s="8">
        <f>VLOOKUP(H10,INSS!$B$3:$D$7,3)</f>
        <v>0.14000000000000001</v>
      </c>
      <c r="J10" s="2">
        <f>VLOOKUP(H10,INSS!$B$3:$D$7,2)</f>
        <v>190.42</v>
      </c>
      <c r="K10" s="5">
        <f>IF(I10&lt;&gt;"Teto",H10*I10-J10,INSS!$F$7)</f>
        <v>872.18000000000018</v>
      </c>
      <c r="L10" s="5">
        <f t="shared" si="3"/>
        <v>607.20000000000005</v>
      </c>
      <c r="M10" s="5">
        <f t="shared" si="4"/>
        <v>6717.82</v>
      </c>
      <c r="N10" s="8">
        <f>VLOOKUP(M10,IRRF!$B$3:$D$7,3)</f>
        <v>0.27500000000000002</v>
      </c>
      <c r="O10" s="5">
        <f>VLOOKUP(M10,IRRF!$B$3:$D$7,2)</f>
        <v>896</v>
      </c>
      <c r="P10" s="5">
        <f t="shared" si="5"/>
        <v>951.40049999999997</v>
      </c>
      <c r="Q10" s="5">
        <f t="shared" si="6"/>
        <v>5766.4195</v>
      </c>
    </row>
    <row r="11" spans="1:17" x14ac:dyDescent="0.25">
      <c r="A11" t="s">
        <v>10</v>
      </c>
      <c r="B11" t="s">
        <v>36</v>
      </c>
      <c r="C11" s="2">
        <f>VLOOKUP(B11,Cargos!$A$3:$D$13,3)</f>
        <v>3036</v>
      </c>
      <c r="D11" s="3">
        <f>VLOOKUP(B11,Cargos!$A$3:$D$13,4)</f>
        <v>220</v>
      </c>
      <c r="E11" s="4">
        <f t="shared" si="0"/>
        <v>13.8</v>
      </c>
      <c r="F11">
        <v>12</v>
      </c>
      <c r="G11" s="5">
        <f t="shared" si="1"/>
        <v>248.40000000000003</v>
      </c>
      <c r="H11" s="5">
        <f t="shared" si="2"/>
        <v>3284.4</v>
      </c>
      <c r="I11" s="8">
        <f>VLOOKUP(H11,INSS!$B$3:$D$7,3)</f>
        <v>0.12</v>
      </c>
      <c r="J11" s="2">
        <f>VLOOKUP(H11,INSS!$B$3:$D$7,2)</f>
        <v>106.8</v>
      </c>
      <c r="K11" s="5">
        <f>IF(I11&lt;&gt;"Teto",H11*I11-J11,INSS!$F$7)</f>
        <v>287.32799999999997</v>
      </c>
      <c r="L11" s="5">
        <f t="shared" si="3"/>
        <v>262.75200000000001</v>
      </c>
      <c r="M11" s="5">
        <f t="shared" si="4"/>
        <v>2997.0720000000001</v>
      </c>
      <c r="N11" s="8">
        <f>VLOOKUP(M11,IRRF!$B$3:$D$7,3)</f>
        <v>0.15</v>
      </c>
      <c r="O11" s="5">
        <f>VLOOKUP(M11,IRRF!$B$3:$D$7,2)</f>
        <v>381.44</v>
      </c>
      <c r="P11" s="5">
        <f t="shared" si="5"/>
        <v>68.120800000000031</v>
      </c>
      <c r="Q11" s="5">
        <f t="shared" si="6"/>
        <v>2928.9512</v>
      </c>
    </row>
    <row r="12" spans="1:17" x14ac:dyDescent="0.25">
      <c r="A12" t="s">
        <v>11</v>
      </c>
      <c r="B12" t="s">
        <v>34</v>
      </c>
      <c r="C12" s="2">
        <f>VLOOKUP(B12,Cargos!$A$3:$D$13,3)</f>
        <v>2277</v>
      </c>
      <c r="D12" s="3">
        <f>VLOOKUP(B12,Cargos!$A$3:$D$13,4)</f>
        <v>220</v>
      </c>
      <c r="E12" s="4">
        <f t="shared" si="0"/>
        <v>10.35</v>
      </c>
      <c r="F12">
        <v>18</v>
      </c>
      <c r="G12" s="5">
        <f t="shared" si="1"/>
        <v>279.45</v>
      </c>
      <c r="H12" s="5">
        <f t="shared" si="2"/>
        <v>2556.4499999999998</v>
      </c>
      <c r="I12" s="8">
        <f>VLOOKUP(H12,INSS!$B$3:$D$7,3)</f>
        <v>0.09</v>
      </c>
      <c r="J12" s="2">
        <f>VLOOKUP(H12,INSS!$B$3:$D$7,2)</f>
        <v>22.77</v>
      </c>
      <c r="K12" s="5">
        <f>IF(I12&lt;&gt;"Teto",H12*I12-J12,INSS!$F$7)</f>
        <v>207.31049999999996</v>
      </c>
      <c r="L12" s="5">
        <f t="shared" si="3"/>
        <v>204.51599999999999</v>
      </c>
      <c r="M12" s="5">
        <f t="shared" si="4"/>
        <v>2349.1394999999998</v>
      </c>
      <c r="N12" s="8">
        <f>VLOOKUP(M12,IRRF!$B$3:$D$7,3)</f>
        <v>7.4999999999999997E-2</v>
      </c>
      <c r="O12" s="5">
        <f>VLOOKUP(M12,IRRF!$B$3:$D$7,2)</f>
        <v>169.44</v>
      </c>
      <c r="P12" s="5">
        <f t="shared" si="5"/>
        <v>6.7454624999999737</v>
      </c>
      <c r="Q12" s="5">
        <f t="shared" si="6"/>
        <v>2342.3940374999997</v>
      </c>
    </row>
    <row r="13" spans="1:17" x14ac:dyDescent="0.25">
      <c r="A13" t="s">
        <v>12</v>
      </c>
      <c r="B13" t="s">
        <v>42</v>
      </c>
      <c r="C13" s="2">
        <f>VLOOKUP(B13,Cargos!$A$3:$D$13,3)</f>
        <v>3036</v>
      </c>
      <c r="D13" s="3">
        <f>VLOOKUP(B13,Cargos!$A$3:$D$13,4)</f>
        <v>220</v>
      </c>
      <c r="E13" s="4">
        <f t="shared" si="0"/>
        <v>13.8</v>
      </c>
      <c r="F13">
        <v>0</v>
      </c>
      <c r="G13" s="5">
        <f t="shared" si="1"/>
        <v>0</v>
      </c>
      <c r="H13" s="5">
        <f t="shared" si="2"/>
        <v>3036</v>
      </c>
      <c r="I13" s="8">
        <f>VLOOKUP(H13,INSS!$B$3:$D$7,3)</f>
        <v>0.12</v>
      </c>
      <c r="J13" s="2">
        <f>VLOOKUP(H13,INSS!$B$3:$D$7,2)</f>
        <v>106.8</v>
      </c>
      <c r="K13" s="5">
        <f>IF(I13&lt;&gt;"Teto",H13*I13-J13,INSS!$F$7)</f>
        <v>257.52</v>
      </c>
      <c r="L13" s="5">
        <f t="shared" si="3"/>
        <v>242.88</v>
      </c>
      <c r="M13" s="5">
        <f t="shared" si="4"/>
        <v>2778.48</v>
      </c>
      <c r="N13" s="8">
        <f>VLOOKUP(M13,IRRF!$B$3:$D$7,3)</f>
        <v>7.4999999999999997E-2</v>
      </c>
      <c r="O13" s="5">
        <f>VLOOKUP(M13,IRRF!$B$3:$D$7,2)</f>
        <v>169.44</v>
      </c>
      <c r="P13" s="5">
        <f t="shared" si="5"/>
        <v>38.945999999999998</v>
      </c>
      <c r="Q13" s="5">
        <f t="shared" si="6"/>
        <v>2739.5340000000001</v>
      </c>
    </row>
    <row r="14" spans="1:17" x14ac:dyDescent="0.25">
      <c r="A14" t="s">
        <v>13</v>
      </c>
      <c r="B14" t="s">
        <v>36</v>
      </c>
      <c r="C14" s="2">
        <f>VLOOKUP(B14,Cargos!$A$3:$D$13,3)</f>
        <v>3036</v>
      </c>
      <c r="D14" s="3">
        <f>VLOOKUP(B14,Cargos!$A$3:$D$13,4)</f>
        <v>220</v>
      </c>
      <c r="E14" s="4">
        <f t="shared" si="0"/>
        <v>13.8</v>
      </c>
      <c r="F14">
        <v>28</v>
      </c>
      <c r="G14" s="5">
        <f t="shared" si="1"/>
        <v>579.6</v>
      </c>
      <c r="H14" s="5">
        <f t="shared" si="2"/>
        <v>3615.6</v>
      </c>
      <c r="I14" s="8">
        <f>VLOOKUP(H14,INSS!$B$3:$D$7,3)</f>
        <v>0.12</v>
      </c>
      <c r="J14" s="2">
        <f>VLOOKUP(H14,INSS!$B$3:$D$7,2)</f>
        <v>106.8</v>
      </c>
      <c r="K14" s="5">
        <f>IF(I14&lt;&gt;"Teto",H14*I14-J14,INSS!$F$7)</f>
        <v>327.07199999999995</v>
      </c>
      <c r="L14" s="5">
        <f t="shared" si="3"/>
        <v>289.24799999999999</v>
      </c>
      <c r="M14" s="5">
        <f t="shared" si="4"/>
        <v>3288.5279999999998</v>
      </c>
      <c r="N14" s="8">
        <f>VLOOKUP(M14,IRRF!$B$3:$D$7,3)</f>
        <v>0.15</v>
      </c>
      <c r="O14" s="5">
        <f>VLOOKUP(M14,IRRF!$B$3:$D$7,2)</f>
        <v>381.44</v>
      </c>
      <c r="P14" s="5">
        <f t="shared" si="5"/>
        <v>111.83919999999995</v>
      </c>
      <c r="Q14" s="5">
        <f t="shared" si="6"/>
        <v>3176.6887999999999</v>
      </c>
    </row>
    <row r="15" spans="1:17" x14ac:dyDescent="0.25">
      <c r="A15" t="s">
        <v>14</v>
      </c>
      <c r="B15" t="s">
        <v>36</v>
      </c>
      <c r="C15" s="2">
        <f>VLOOKUP(B15,Cargos!$A$3:$D$13,3)</f>
        <v>3036</v>
      </c>
      <c r="D15" s="3">
        <f>VLOOKUP(B15,Cargos!$A$3:$D$13,4)</f>
        <v>220</v>
      </c>
      <c r="E15" s="4">
        <f t="shared" si="0"/>
        <v>13.8</v>
      </c>
      <c r="F15">
        <v>24</v>
      </c>
      <c r="G15" s="5">
        <f t="shared" si="1"/>
        <v>496.80000000000007</v>
      </c>
      <c r="H15" s="5">
        <f t="shared" si="2"/>
        <v>3532.8</v>
      </c>
      <c r="I15" s="8">
        <f>VLOOKUP(H15,INSS!$B$3:$D$7,3)</f>
        <v>0.12</v>
      </c>
      <c r="J15" s="2">
        <f>VLOOKUP(H15,INSS!$B$3:$D$7,2)</f>
        <v>106.8</v>
      </c>
      <c r="K15" s="5">
        <f>IF(I15&lt;&gt;"Teto",H15*I15-J15,INSS!$F$7)</f>
        <v>317.13599999999997</v>
      </c>
      <c r="L15" s="5">
        <f t="shared" si="3"/>
        <v>282.62400000000002</v>
      </c>
      <c r="M15" s="5">
        <f t="shared" si="4"/>
        <v>3215.6640000000002</v>
      </c>
      <c r="N15" s="8">
        <f>VLOOKUP(M15,IRRF!$B$3:$D$7,3)</f>
        <v>0.15</v>
      </c>
      <c r="O15" s="5">
        <f>VLOOKUP(M15,IRRF!$B$3:$D$7,2)</f>
        <v>381.44</v>
      </c>
      <c r="P15" s="5">
        <f t="shared" si="5"/>
        <v>100.90960000000001</v>
      </c>
      <c r="Q15" s="5">
        <f t="shared" si="6"/>
        <v>3114.7544000000003</v>
      </c>
    </row>
    <row r="16" spans="1:17" x14ac:dyDescent="0.25">
      <c r="A16" t="s">
        <v>15</v>
      </c>
      <c r="B16" t="s">
        <v>35</v>
      </c>
      <c r="C16" s="2">
        <f>VLOOKUP(B16,Cargos!$A$3:$D$13,3)</f>
        <v>1518</v>
      </c>
      <c r="D16" s="3">
        <f>VLOOKUP(B16,Cargos!$A$3:$D$13,4)</f>
        <v>220</v>
      </c>
      <c r="E16" s="4">
        <f t="shared" si="0"/>
        <v>6.9</v>
      </c>
      <c r="F16">
        <v>30</v>
      </c>
      <c r="G16" s="5">
        <f t="shared" si="1"/>
        <v>310.5</v>
      </c>
      <c r="H16" s="5">
        <f t="shared" si="2"/>
        <v>1828.5</v>
      </c>
      <c r="I16" s="8">
        <f>VLOOKUP(H16,INSS!$B$3:$D$7,3)</f>
        <v>0.09</v>
      </c>
      <c r="J16" s="2">
        <f>VLOOKUP(H16,INSS!$B$3:$D$7,2)</f>
        <v>22.77</v>
      </c>
      <c r="K16" s="5">
        <f>IF(I16&lt;&gt;"Teto",H16*I16-J16,INSS!$F$7)</f>
        <v>141.79499999999999</v>
      </c>
      <c r="L16" s="5">
        <f t="shared" si="3"/>
        <v>146.28</v>
      </c>
      <c r="M16" s="5">
        <f t="shared" si="4"/>
        <v>1686.7049999999999</v>
      </c>
      <c r="N16" s="8">
        <f>VLOOKUP(M16,IRRF!$B$3:$D$7,3)</f>
        <v>0</v>
      </c>
      <c r="O16" s="5">
        <f>VLOOKUP(M16,IRRF!$B$3:$D$7,2)</f>
        <v>0</v>
      </c>
      <c r="P16" s="5">
        <f t="shared" si="5"/>
        <v>0</v>
      </c>
      <c r="Q16" s="5">
        <f t="shared" si="6"/>
        <v>1686.7049999999999</v>
      </c>
    </row>
    <row r="17" spans="1:19" x14ac:dyDescent="0.25">
      <c r="A17" t="s">
        <v>16</v>
      </c>
      <c r="B17" t="s">
        <v>35</v>
      </c>
      <c r="C17" s="2">
        <f>VLOOKUP(B17,Cargos!$A$3:$D$13,3)</f>
        <v>1518</v>
      </c>
      <c r="D17" s="3">
        <f>VLOOKUP(B17,Cargos!$A$3:$D$13,4)</f>
        <v>220</v>
      </c>
      <c r="E17" s="4">
        <f t="shared" si="0"/>
        <v>6.9</v>
      </c>
      <c r="F17">
        <v>22</v>
      </c>
      <c r="G17" s="5">
        <f t="shared" si="1"/>
        <v>227.70000000000002</v>
      </c>
      <c r="H17" s="5">
        <f t="shared" si="2"/>
        <v>1745.7</v>
      </c>
      <c r="I17" s="8">
        <f>VLOOKUP(H17,INSS!$B$3:$D$7,3)</f>
        <v>0.09</v>
      </c>
      <c r="J17" s="2">
        <f>VLOOKUP(H17,INSS!$B$3:$D$7,2)</f>
        <v>22.77</v>
      </c>
      <c r="K17" s="5">
        <f>IF(I17&lt;&gt;"Teto",H17*I17-J17,INSS!$F$7)</f>
        <v>134.34299999999999</v>
      </c>
      <c r="L17" s="5">
        <f t="shared" si="3"/>
        <v>139.65600000000001</v>
      </c>
      <c r="M17" s="5">
        <f t="shared" si="4"/>
        <v>1611.357</v>
      </c>
      <c r="N17" s="8">
        <f>VLOOKUP(M17,IRRF!$B$3:$D$7,3)</f>
        <v>0</v>
      </c>
      <c r="O17" s="5">
        <f>VLOOKUP(M17,IRRF!$B$3:$D$7,2)</f>
        <v>0</v>
      </c>
      <c r="P17" s="5">
        <f t="shared" si="5"/>
        <v>0</v>
      </c>
      <c r="Q17" s="5">
        <f t="shared" si="6"/>
        <v>1611.357</v>
      </c>
    </row>
    <row r="18" spans="1:19" x14ac:dyDescent="0.25">
      <c r="A18" t="s">
        <v>17</v>
      </c>
      <c r="B18" t="s">
        <v>35</v>
      </c>
      <c r="C18" s="2">
        <f>VLOOKUP(B18,Cargos!$A$3:$D$13,3)</f>
        <v>1518</v>
      </c>
      <c r="D18" s="3">
        <f>VLOOKUP(B18,Cargos!$A$3:$D$13,4)</f>
        <v>220</v>
      </c>
      <c r="E18" s="4">
        <f t="shared" si="0"/>
        <v>6.9</v>
      </c>
      <c r="F18">
        <v>5</v>
      </c>
      <c r="G18" s="5">
        <f t="shared" si="1"/>
        <v>51.75</v>
      </c>
      <c r="H18" s="5">
        <f t="shared" si="2"/>
        <v>1569.75</v>
      </c>
      <c r="I18" s="8">
        <f>VLOOKUP(H18,INSS!$B$3:$D$7,3)</f>
        <v>0.09</v>
      </c>
      <c r="J18" s="2">
        <f>VLOOKUP(H18,INSS!$B$3:$D$7,2)</f>
        <v>22.77</v>
      </c>
      <c r="K18" s="5">
        <f>IF(I18&lt;&gt;"Teto",H18*I18-J18,INSS!$F$7)</f>
        <v>118.50750000000001</v>
      </c>
      <c r="L18" s="5">
        <f t="shared" si="3"/>
        <v>125.58</v>
      </c>
      <c r="M18" s="5">
        <f t="shared" si="4"/>
        <v>1451.2425000000001</v>
      </c>
      <c r="N18" s="8">
        <f>VLOOKUP(M18,IRRF!$B$3:$D$7,3)</f>
        <v>0</v>
      </c>
      <c r="O18" s="5">
        <f>VLOOKUP(M18,IRRF!$B$3:$D$7,2)</f>
        <v>0</v>
      </c>
      <c r="P18" s="5">
        <f t="shared" si="5"/>
        <v>0</v>
      </c>
      <c r="Q18" s="5">
        <f t="shared" si="6"/>
        <v>1451.2425000000001</v>
      </c>
    </row>
    <row r="19" spans="1:19" x14ac:dyDescent="0.25">
      <c r="A19" t="s">
        <v>18</v>
      </c>
      <c r="B19" t="s">
        <v>39</v>
      </c>
      <c r="C19" s="2">
        <f>VLOOKUP(B19,Cargos!$A$3:$D$13,3)</f>
        <v>2277</v>
      </c>
      <c r="D19" s="3">
        <f>VLOOKUP(B19,Cargos!$A$3:$D$13,4)</f>
        <v>220</v>
      </c>
      <c r="E19" s="4">
        <f t="shared" si="0"/>
        <v>10.35</v>
      </c>
      <c r="F19">
        <v>6</v>
      </c>
      <c r="G19" s="5">
        <f t="shared" si="1"/>
        <v>93.149999999999991</v>
      </c>
      <c r="H19" s="5">
        <f t="shared" si="2"/>
        <v>2370.15</v>
      </c>
      <c r="I19" s="8">
        <f>VLOOKUP(H19,INSS!$B$3:$D$7,3)</f>
        <v>0.09</v>
      </c>
      <c r="J19" s="2">
        <f>VLOOKUP(H19,INSS!$B$3:$D$7,2)</f>
        <v>22.77</v>
      </c>
      <c r="K19" s="5">
        <f>IF(I19&lt;&gt;"Teto",H19*I19-J19,INSS!$F$7)</f>
        <v>190.54349999999999</v>
      </c>
      <c r="L19" s="5">
        <f t="shared" si="3"/>
        <v>189.61200000000002</v>
      </c>
      <c r="M19" s="5">
        <f t="shared" si="4"/>
        <v>2179.6064999999999</v>
      </c>
      <c r="N19" s="8">
        <f>VLOOKUP(M19,IRRF!$B$3:$D$7,3)</f>
        <v>0</v>
      </c>
      <c r="O19" s="5">
        <f>VLOOKUP(M19,IRRF!$B$3:$D$7,2)</f>
        <v>0</v>
      </c>
      <c r="P19" s="5">
        <f t="shared" si="5"/>
        <v>0</v>
      </c>
      <c r="Q19" s="5">
        <f t="shared" si="6"/>
        <v>2179.6064999999999</v>
      </c>
    </row>
    <row r="20" spans="1:19" x14ac:dyDescent="0.25">
      <c r="A20" t="s">
        <v>19</v>
      </c>
      <c r="B20" t="s">
        <v>33</v>
      </c>
      <c r="C20" s="2">
        <f>VLOOKUP(B20,Cargos!$A$3:$D$13,3)</f>
        <v>2277</v>
      </c>
      <c r="D20" s="3">
        <f>VLOOKUP(B20,Cargos!$A$3:$D$13,4)</f>
        <v>220</v>
      </c>
      <c r="E20" s="4">
        <f t="shared" si="0"/>
        <v>10.35</v>
      </c>
      <c r="F20">
        <v>9</v>
      </c>
      <c r="G20" s="5">
        <f t="shared" si="1"/>
        <v>139.72499999999999</v>
      </c>
      <c r="H20" s="5">
        <f t="shared" si="2"/>
        <v>2416.7249999999999</v>
      </c>
      <c r="I20" s="8">
        <f>VLOOKUP(H20,INSS!$B$3:$D$7,3)</f>
        <v>0.09</v>
      </c>
      <c r="J20" s="2">
        <f>VLOOKUP(H20,INSS!$B$3:$D$7,2)</f>
        <v>22.77</v>
      </c>
      <c r="K20" s="5">
        <f>IF(I20&lt;&gt;"Teto",H20*I20-J20,INSS!$F$7)</f>
        <v>194.73524999999998</v>
      </c>
      <c r="L20" s="5">
        <f t="shared" si="3"/>
        <v>193.33799999999999</v>
      </c>
      <c r="M20" s="5">
        <f t="shared" si="4"/>
        <v>2221.9897499999997</v>
      </c>
      <c r="N20" s="8">
        <f>VLOOKUP(M20,IRRF!$B$3:$D$7,3)</f>
        <v>0</v>
      </c>
      <c r="O20" s="5">
        <f>VLOOKUP(M20,IRRF!$B$3:$D$7,2)</f>
        <v>0</v>
      </c>
      <c r="P20" s="5">
        <f t="shared" si="5"/>
        <v>0</v>
      </c>
      <c r="Q20" s="5">
        <f t="shared" si="6"/>
        <v>2221.9897499999997</v>
      </c>
      <c r="R20" t="s">
        <v>63</v>
      </c>
      <c r="S20" t="s">
        <v>64</v>
      </c>
    </row>
    <row r="21" spans="1:19" x14ac:dyDescent="0.25">
      <c r="A21" s="12" t="s">
        <v>58</v>
      </c>
      <c r="B21" t="s">
        <v>59</v>
      </c>
      <c r="C21" s="5">
        <f>SUM(C3:C20)</f>
        <v>54344.4</v>
      </c>
      <c r="D21" s="5"/>
      <c r="E21" s="5"/>
      <c r="F21" s="5"/>
      <c r="G21" s="5">
        <f t="shared" ref="D21:Q21" si="7">SUM(G3:G20)</f>
        <v>3713.9250000000002</v>
      </c>
      <c r="H21" s="5">
        <f t="shared" si="7"/>
        <v>58058.324999999997</v>
      </c>
      <c r="I21" s="5"/>
      <c r="J21" s="5"/>
      <c r="K21" s="5">
        <f t="shared" si="7"/>
        <v>5199.8815499999992</v>
      </c>
      <c r="L21" s="5">
        <f t="shared" si="7"/>
        <v>4644.6660000000011</v>
      </c>
      <c r="M21" s="5">
        <f t="shared" si="7"/>
        <v>52858.443449999999</v>
      </c>
      <c r="N21" s="5"/>
      <c r="O21" s="5"/>
      <c r="P21" s="5">
        <f t="shared" si="7"/>
        <v>3369.4575237500003</v>
      </c>
      <c r="Q21" s="5">
        <f t="shared" si="7"/>
        <v>49488.985926250003</v>
      </c>
      <c r="R21" s="5">
        <f>H21+L21+(H21+L21)*22%</f>
        <v>76497.649019999997</v>
      </c>
      <c r="S21" s="5">
        <f>R21*5%</f>
        <v>3824.8824509999999</v>
      </c>
    </row>
    <row r="22" spans="1:19" x14ac:dyDescent="0.25">
      <c r="A22" s="12"/>
      <c r="B22" t="s">
        <v>60</v>
      </c>
      <c r="C22" s="5">
        <f>AVERAGE(C3:C20)</f>
        <v>3019.1333333333332</v>
      </c>
      <c r="D22" s="5"/>
      <c r="E22" s="5"/>
      <c r="F22" s="5"/>
      <c r="G22" s="5">
        <f t="shared" ref="D22:Q22" si="8">AVERAGE(G3:G20)</f>
        <v>206.32916666666668</v>
      </c>
      <c r="H22" s="5">
        <f t="shared" si="8"/>
        <v>3225.4624999999996</v>
      </c>
      <c r="I22" s="5"/>
      <c r="J22" s="5"/>
      <c r="K22" s="5">
        <f t="shared" si="8"/>
        <v>288.8823083333333</v>
      </c>
      <c r="L22" s="5">
        <f t="shared" si="8"/>
        <v>258.03700000000003</v>
      </c>
      <c r="M22" s="5">
        <f t="shared" si="8"/>
        <v>2936.5801916666665</v>
      </c>
      <c r="N22" s="5"/>
      <c r="O22" s="5"/>
      <c r="P22" s="5">
        <f t="shared" si="8"/>
        <v>187.19208465277779</v>
      </c>
      <c r="Q22" s="5">
        <f t="shared" si="8"/>
        <v>2749.3881070138891</v>
      </c>
    </row>
    <row r="23" spans="1:19" x14ac:dyDescent="0.25">
      <c r="A23" s="12"/>
      <c r="B23" t="s">
        <v>61</v>
      </c>
      <c r="C23" s="5">
        <f>MAX(C3:C20)</f>
        <v>10626</v>
      </c>
      <c r="D23" s="5"/>
      <c r="E23" s="5"/>
      <c r="F23" s="5"/>
      <c r="G23" s="5">
        <f t="shared" ref="D23:Q23" si="9">MAX(G3:G20)</f>
        <v>579.6</v>
      </c>
      <c r="H23" s="5">
        <f t="shared" si="9"/>
        <v>10626</v>
      </c>
      <c r="I23" s="5"/>
      <c r="J23" s="5"/>
      <c r="K23" s="5">
        <f t="shared" si="9"/>
        <v>951.61880000000008</v>
      </c>
      <c r="L23" s="5">
        <f t="shared" si="9"/>
        <v>850.08</v>
      </c>
      <c r="M23" s="5">
        <f t="shared" si="9"/>
        <v>9674.3811999999998</v>
      </c>
      <c r="N23" s="5"/>
      <c r="O23" s="5"/>
      <c r="P23" s="5">
        <f t="shared" si="9"/>
        <v>1764.4548300000001</v>
      </c>
      <c r="Q23" s="5">
        <f t="shared" si="9"/>
        <v>7909.9263699999992</v>
      </c>
    </row>
    <row r="24" spans="1:19" x14ac:dyDescent="0.25">
      <c r="A24" s="12"/>
      <c r="B24" t="s">
        <v>62</v>
      </c>
      <c r="C24" s="5">
        <f>MIN(C3:C20)</f>
        <v>759</v>
      </c>
      <c r="D24" s="5"/>
      <c r="E24" s="5"/>
      <c r="F24" s="5"/>
      <c r="G24" s="5">
        <f t="shared" ref="D24:Q24" si="10">MIN(G3:G20)</f>
        <v>0</v>
      </c>
      <c r="H24" s="5">
        <f t="shared" si="10"/>
        <v>834.9</v>
      </c>
      <c r="I24" s="5"/>
      <c r="J24" s="5"/>
      <c r="K24" s="5">
        <f t="shared" si="10"/>
        <v>62.617499999999993</v>
      </c>
      <c r="L24" s="5">
        <f t="shared" si="10"/>
        <v>66.792000000000002</v>
      </c>
      <c r="M24" s="5">
        <f t="shared" si="10"/>
        <v>772.28250000000003</v>
      </c>
      <c r="N24" s="5"/>
      <c r="O24" s="5"/>
      <c r="P24" s="5">
        <f t="shared" si="10"/>
        <v>0</v>
      </c>
      <c r="Q24" s="5">
        <f t="shared" si="10"/>
        <v>772.28250000000003</v>
      </c>
    </row>
  </sheetData>
  <mergeCells count="1">
    <mergeCell ref="A21:A24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Cargo" error="Inválido" promptTitle="Escolha" prompt="O cargo na lista" xr:uid="{190AE0BB-43E0-4EDF-A3C4-ADC27447EEFB}">
          <x14:formula1>
            <xm:f>Cargos!$A$3:$A$13</xm:f>
          </x14:formula1>
          <xm:sqref>B3:B20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5C68A-4D81-4AAD-8B7A-2E5F7F612CAE}">
  <dimension ref="A1:G13"/>
  <sheetViews>
    <sheetView tabSelected="1" zoomScale="130" zoomScaleNormal="130" workbookViewId="0">
      <selection activeCell="F20" sqref="F20"/>
    </sheetView>
  </sheetViews>
  <sheetFormatPr defaultRowHeight="15" x14ac:dyDescent="0.25"/>
  <cols>
    <col min="1" max="1" width="21.42578125" bestFit="1" customWidth="1"/>
    <col min="2" max="2" width="5.5703125" bestFit="1" customWidth="1"/>
    <col min="3" max="3" width="13.85546875" bestFit="1" customWidth="1"/>
    <col min="4" max="4" width="9.42578125" bestFit="1" customWidth="1"/>
    <col min="5" max="5" width="12" bestFit="1" customWidth="1"/>
    <col min="7" max="7" width="14.5703125" bestFit="1" customWidth="1"/>
  </cols>
  <sheetData>
    <row r="1" spans="1:7" ht="18.75" x14ac:dyDescent="0.3">
      <c r="A1" s="10" t="s">
        <v>28</v>
      </c>
      <c r="B1" s="10"/>
      <c r="C1" s="10"/>
      <c r="D1" s="10"/>
      <c r="E1" s="10"/>
    </row>
    <row r="2" spans="1:7" x14ac:dyDescent="0.25">
      <c r="A2" s="1" t="s">
        <v>20</v>
      </c>
      <c r="B2" s="1" t="s">
        <v>29</v>
      </c>
      <c r="C2" s="1" t="s">
        <v>30</v>
      </c>
      <c r="D2" s="1" t="s">
        <v>40</v>
      </c>
      <c r="E2" s="1" t="s">
        <v>65</v>
      </c>
      <c r="G2" s="1" t="s">
        <v>27</v>
      </c>
    </row>
    <row r="3" spans="1:7" x14ac:dyDescent="0.25">
      <c r="A3" t="s">
        <v>32</v>
      </c>
      <c r="B3">
        <v>0.8</v>
      </c>
      <c r="C3" s="2">
        <f>B3*$G$3</f>
        <v>1214.4000000000001</v>
      </c>
      <c r="D3">
        <v>110</v>
      </c>
      <c r="E3">
        <f>SUMIF(Pagamentos!$B$3:$B$20,Cargos!A3,Pagamentos!$F$3:$F$20)</f>
        <v>15</v>
      </c>
      <c r="G3" s="2">
        <v>1518</v>
      </c>
    </row>
    <row r="4" spans="1:7" x14ac:dyDescent="0.25">
      <c r="A4" t="s">
        <v>33</v>
      </c>
      <c r="B4">
        <v>1.5</v>
      </c>
      <c r="C4" s="2">
        <f t="shared" ref="C4:C13" si="0">B4*$G$3</f>
        <v>2277</v>
      </c>
      <c r="D4">
        <v>220</v>
      </c>
      <c r="E4">
        <f>SUMIF(Pagamentos!$B$3:$B$20,Cargos!A4,Pagamentos!$F$3:$F$20)</f>
        <v>26</v>
      </c>
    </row>
    <row r="5" spans="1:7" x14ac:dyDescent="0.25">
      <c r="A5" t="s">
        <v>39</v>
      </c>
      <c r="B5">
        <v>1.5</v>
      </c>
      <c r="C5" s="2">
        <f t="shared" si="0"/>
        <v>2277</v>
      </c>
      <c r="D5">
        <v>220</v>
      </c>
      <c r="E5">
        <f>SUMIF(Pagamentos!$B$3:$B$20,Cargos!A5,Pagamentos!$F$3:$F$20)</f>
        <v>11</v>
      </c>
    </row>
    <row r="6" spans="1:7" x14ac:dyDescent="0.25">
      <c r="A6" t="s">
        <v>35</v>
      </c>
      <c r="B6">
        <v>1</v>
      </c>
      <c r="C6" s="2">
        <f t="shared" si="0"/>
        <v>1518</v>
      </c>
      <c r="D6">
        <v>220</v>
      </c>
      <c r="E6">
        <f>SUMIF(Pagamentos!$B$3:$B$20,Cargos!A6,Pagamentos!$F$3:$F$20)</f>
        <v>87</v>
      </c>
    </row>
    <row r="7" spans="1:7" x14ac:dyDescent="0.25">
      <c r="A7" t="s">
        <v>41</v>
      </c>
      <c r="B7">
        <v>7</v>
      </c>
      <c r="C7" s="2">
        <f t="shared" si="0"/>
        <v>10626</v>
      </c>
      <c r="D7">
        <v>220</v>
      </c>
      <c r="E7">
        <f>SUMIF(Pagamentos!$B$3:$B$20,Cargos!A7,Pagamentos!$F$3:$F$20)</f>
        <v>0</v>
      </c>
    </row>
    <row r="8" spans="1:7" x14ac:dyDescent="0.25">
      <c r="A8" t="s">
        <v>37</v>
      </c>
      <c r="B8">
        <v>3</v>
      </c>
      <c r="C8" s="2">
        <f t="shared" si="0"/>
        <v>4554</v>
      </c>
      <c r="D8">
        <v>220</v>
      </c>
      <c r="E8">
        <f>SUMIF(Pagamentos!$B$3:$B$20,Cargos!A8,Pagamentos!$F$3:$F$20)</f>
        <v>10</v>
      </c>
    </row>
    <row r="9" spans="1:7" x14ac:dyDescent="0.25">
      <c r="A9" t="s">
        <v>31</v>
      </c>
      <c r="B9">
        <v>0.5</v>
      </c>
      <c r="C9" s="2">
        <f t="shared" si="0"/>
        <v>759</v>
      </c>
      <c r="D9">
        <v>180</v>
      </c>
      <c r="E9">
        <f>SUMIF(Pagamentos!$B$3:$B$20,Cargos!A9,Pagamentos!$F$3:$F$20)</f>
        <v>12</v>
      </c>
    </row>
    <row r="10" spans="1:7" x14ac:dyDescent="0.25">
      <c r="A10" t="s">
        <v>38</v>
      </c>
      <c r="B10">
        <v>5</v>
      </c>
      <c r="C10" s="2">
        <f t="shared" si="0"/>
        <v>7590</v>
      </c>
      <c r="D10">
        <v>220</v>
      </c>
      <c r="E10">
        <f>SUMIF(Pagamentos!$B$3:$B$20,Cargos!A10,Pagamentos!$F$3:$F$20)</f>
        <v>0</v>
      </c>
    </row>
    <row r="11" spans="1:7" x14ac:dyDescent="0.25">
      <c r="A11" t="s">
        <v>36</v>
      </c>
      <c r="B11">
        <v>2</v>
      </c>
      <c r="C11" s="2">
        <f t="shared" si="0"/>
        <v>3036</v>
      </c>
      <c r="D11">
        <v>220</v>
      </c>
      <c r="E11">
        <f>SUMIF(Pagamentos!$B$3:$B$20,Cargos!A11,Pagamentos!$F$3:$F$20)</f>
        <v>64</v>
      </c>
    </row>
    <row r="12" spans="1:7" x14ac:dyDescent="0.25">
      <c r="A12" t="s">
        <v>34</v>
      </c>
      <c r="B12">
        <v>1.5</v>
      </c>
      <c r="C12" s="2">
        <f t="shared" si="0"/>
        <v>2277</v>
      </c>
      <c r="D12">
        <v>220</v>
      </c>
      <c r="E12">
        <f>SUMIF(Pagamentos!$B$3:$B$20,Cargos!A12,Pagamentos!$F$3:$F$20)</f>
        <v>18</v>
      </c>
    </row>
    <row r="13" spans="1:7" x14ac:dyDescent="0.25">
      <c r="A13" t="s">
        <v>42</v>
      </c>
      <c r="B13">
        <v>2</v>
      </c>
      <c r="C13" s="2">
        <f t="shared" si="0"/>
        <v>3036</v>
      </c>
      <c r="D13">
        <v>220</v>
      </c>
      <c r="E13">
        <f>SUMIF(Pagamentos!$B$3:$B$20,Cargos!A13,Pagamentos!$F$3:$F$20)</f>
        <v>0</v>
      </c>
    </row>
  </sheetData>
  <sortState xmlns:xlrd2="http://schemas.microsoft.com/office/spreadsheetml/2017/richdata2" ref="A3:D12">
    <sortCondition ref="A2:A12"/>
  </sortState>
  <mergeCells count="1">
    <mergeCell ref="A1:E1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E2113-A20F-4752-9D6B-FCDAD72F6143}">
  <dimension ref="A1:I7"/>
  <sheetViews>
    <sheetView zoomScale="115" zoomScaleNormal="115" workbookViewId="0">
      <selection activeCell="E12" sqref="E12"/>
    </sheetView>
  </sheetViews>
  <sheetFormatPr defaultRowHeight="15" x14ac:dyDescent="0.25"/>
  <cols>
    <col min="2" max="2" width="12.7109375" bestFit="1" customWidth="1"/>
    <col min="3" max="3" width="11.140625" bestFit="1" customWidth="1"/>
    <col min="4" max="4" width="12.85546875" bestFit="1" customWidth="1"/>
    <col min="6" max="6" width="13.7109375" customWidth="1"/>
    <col min="8" max="9" width="12.140625" bestFit="1" customWidth="1"/>
  </cols>
  <sheetData>
    <row r="1" spans="1:9" ht="18.75" x14ac:dyDescent="0.3">
      <c r="B1" s="11" t="s">
        <v>48</v>
      </c>
      <c r="C1" s="11"/>
      <c r="D1" s="11"/>
    </row>
    <row r="2" spans="1:9" x14ac:dyDescent="0.25">
      <c r="B2" s="1" t="s">
        <v>30</v>
      </c>
      <c r="C2" s="1" t="s">
        <v>46</v>
      </c>
      <c r="D2" s="1" t="s">
        <v>47</v>
      </c>
    </row>
    <row r="3" spans="1:9" x14ac:dyDescent="0.25">
      <c r="A3" t="s">
        <v>49</v>
      </c>
      <c r="B3">
        <v>0</v>
      </c>
      <c r="C3">
        <v>0</v>
      </c>
      <c r="D3" s="6">
        <v>7.4999999999999997E-2</v>
      </c>
    </row>
    <row r="4" spans="1:9" x14ac:dyDescent="0.25">
      <c r="A4" t="s">
        <v>49</v>
      </c>
      <c r="B4" s="2">
        <v>1518.01</v>
      </c>
      <c r="C4" s="2">
        <v>22.77</v>
      </c>
      <c r="D4" s="7">
        <v>0.09</v>
      </c>
      <c r="F4" s="2"/>
      <c r="G4" s="7"/>
      <c r="H4" s="2"/>
      <c r="I4" s="2"/>
    </row>
    <row r="5" spans="1:9" x14ac:dyDescent="0.25">
      <c r="A5" t="s">
        <v>49</v>
      </c>
      <c r="B5" s="2">
        <v>2793.89</v>
      </c>
      <c r="C5" s="2">
        <v>106.8</v>
      </c>
      <c r="D5" s="7">
        <v>0.12</v>
      </c>
    </row>
    <row r="6" spans="1:9" x14ac:dyDescent="0.25">
      <c r="A6" t="s">
        <v>49</v>
      </c>
      <c r="B6" s="2">
        <v>4190.84</v>
      </c>
      <c r="C6" s="2">
        <v>190.42</v>
      </c>
      <c r="D6" s="7">
        <v>0.14000000000000001</v>
      </c>
      <c r="F6" t="s">
        <v>45</v>
      </c>
    </row>
    <row r="7" spans="1:9" x14ac:dyDescent="0.25">
      <c r="A7" t="s">
        <v>49</v>
      </c>
      <c r="B7" s="2">
        <v>8157.42</v>
      </c>
      <c r="C7" t="s">
        <v>45</v>
      </c>
      <c r="D7" s="5" t="s">
        <v>45</v>
      </c>
      <c r="F7" s="5">
        <f>B7*D6-C6</f>
        <v>951.61880000000008</v>
      </c>
    </row>
  </sheetData>
  <mergeCells count="1">
    <mergeCell ref="B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263C-688C-4774-B4A2-E57A21E8F14C}">
  <dimension ref="A1:I11"/>
  <sheetViews>
    <sheetView workbookViewId="0">
      <selection activeCell="C3" sqref="C3:C7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13.85546875" customWidth="1"/>
    <col min="9" max="9" width="15.85546875" bestFit="1" customWidth="1"/>
  </cols>
  <sheetData>
    <row r="1" spans="1:9" ht="18.75" x14ac:dyDescent="0.3">
      <c r="B1" s="11" t="s">
        <v>52</v>
      </c>
      <c r="C1" s="11"/>
      <c r="D1" s="11"/>
    </row>
    <row r="2" spans="1:9" x14ac:dyDescent="0.25">
      <c r="B2" s="1" t="s">
        <v>30</v>
      </c>
      <c r="C2" s="1" t="s">
        <v>46</v>
      </c>
      <c r="D2" s="1" t="s">
        <v>47</v>
      </c>
    </row>
    <row r="3" spans="1:9" x14ac:dyDescent="0.25">
      <c r="A3" t="s">
        <v>53</v>
      </c>
      <c r="B3">
        <v>0</v>
      </c>
      <c r="C3">
        <v>0</v>
      </c>
      <c r="D3" s="6">
        <v>0</v>
      </c>
    </row>
    <row r="4" spans="1:9" x14ac:dyDescent="0.25">
      <c r="A4" t="s">
        <v>49</v>
      </c>
      <c r="B4" s="2">
        <v>2259.21</v>
      </c>
      <c r="C4" s="2">
        <v>169.44</v>
      </c>
      <c r="D4" s="9">
        <v>7.4999999999999997E-2</v>
      </c>
      <c r="F4" s="2"/>
    </row>
    <row r="5" spans="1:9" x14ac:dyDescent="0.25">
      <c r="A5" t="s">
        <v>49</v>
      </c>
      <c r="B5" s="2">
        <v>2826.66</v>
      </c>
      <c r="C5" s="2">
        <v>381.44</v>
      </c>
      <c r="D5" s="9">
        <v>0.15</v>
      </c>
      <c r="I5" s="5"/>
    </row>
    <row r="6" spans="1:9" x14ac:dyDescent="0.25">
      <c r="A6" t="s">
        <v>49</v>
      </c>
      <c r="B6" s="2">
        <v>3571.06</v>
      </c>
      <c r="C6" s="2">
        <v>662.77</v>
      </c>
      <c r="D6" s="9">
        <v>0.22500000000000001</v>
      </c>
      <c r="I6" s="5"/>
    </row>
    <row r="7" spans="1:9" x14ac:dyDescent="0.25">
      <c r="A7" t="s">
        <v>49</v>
      </c>
      <c r="B7" s="2">
        <v>4668.68</v>
      </c>
      <c r="C7" s="2">
        <v>896</v>
      </c>
      <c r="D7" s="9">
        <v>0.27500000000000002</v>
      </c>
      <c r="F7" s="5"/>
      <c r="I7" s="2"/>
    </row>
    <row r="9" spans="1:9" x14ac:dyDescent="0.25">
      <c r="I9" s="2"/>
    </row>
    <row r="10" spans="1:9" x14ac:dyDescent="0.25">
      <c r="I10" s="2"/>
    </row>
    <row r="11" spans="1:9" x14ac:dyDescent="0.25">
      <c r="I11" s="5"/>
    </row>
  </sheetData>
  <mergeCells count="1">
    <mergeCell ref="B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Gráficos</vt:lpstr>
      </vt:variant>
      <vt:variant>
        <vt:i4>1</vt:i4>
      </vt:variant>
    </vt:vector>
  </HeadingPairs>
  <TitlesOfParts>
    <vt:vector size="6" baseType="lpstr">
      <vt:lpstr>Horas Extras</vt:lpstr>
      <vt:lpstr>Pagamentos</vt:lpstr>
      <vt:lpstr>Cargos</vt:lpstr>
      <vt:lpstr>INSS</vt:lpstr>
      <vt:lpstr>IRRF</vt:lpstr>
      <vt:lpstr>Salário 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Spoljaric</dc:creator>
  <cp:lastModifiedBy>Ivo Giannini</cp:lastModifiedBy>
  <dcterms:created xsi:type="dcterms:W3CDTF">2025-03-29T11:29:40Z</dcterms:created>
  <dcterms:modified xsi:type="dcterms:W3CDTF">2025-04-05T13:40:38Z</dcterms:modified>
</cp:coreProperties>
</file>