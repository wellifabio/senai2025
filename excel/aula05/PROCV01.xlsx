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fessor\Downloads\"/>
    </mc:Choice>
  </mc:AlternateContent>
  <xr:revisionPtr revIDLastSave="0" documentId="13_ncr:1_{B40889A2-BF5B-4DD5-A1D3-9AEA32A340F7}" xr6:coauthVersionLast="47" xr6:coauthVersionMax="47" xr10:uidLastSave="{00000000-0000-0000-0000-000000000000}"/>
  <bookViews>
    <workbookView xWindow="-120" yWindow="-120" windowWidth="19440" windowHeight="10320" xr2:uid="{D6E0E79A-91DA-4E26-B788-3C7E38BA1D6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D6" i="1"/>
  <c r="E6" i="1" s="1"/>
  <c r="B7" i="1"/>
  <c r="D7" i="1"/>
  <c r="E7" i="1" s="1"/>
  <c r="B8" i="1"/>
  <c r="D8" i="1"/>
  <c r="E8" i="1" s="1"/>
  <c r="B9" i="1"/>
  <c r="D9" i="1"/>
  <c r="E9" i="1" s="1"/>
  <c r="B10" i="1"/>
  <c r="D10" i="1"/>
  <c r="E10" i="1" s="1"/>
  <c r="B11" i="1"/>
  <c r="D11" i="1"/>
  <c r="E11" i="1" s="1"/>
  <c r="D4" i="1"/>
  <c r="E4" i="1" s="1"/>
  <c r="D5" i="1"/>
  <c r="E5" i="1" s="1"/>
  <c r="D3" i="1"/>
  <c r="E3" i="1" s="1"/>
  <c r="B3" i="1"/>
  <c r="B4" i="1"/>
  <c r="B5" i="1"/>
  <c r="E12" i="1" l="1"/>
</calcChain>
</file>

<file path=xl/sharedStrings.xml><?xml version="1.0" encoding="utf-8"?>
<sst xmlns="http://schemas.openxmlformats.org/spreadsheetml/2006/main" count="22" uniqueCount="21">
  <si>
    <t>id</t>
  </si>
  <si>
    <t>Produto</t>
  </si>
  <si>
    <t>Preço</t>
  </si>
  <si>
    <t>Orçamento</t>
  </si>
  <si>
    <t>Nome</t>
  </si>
  <si>
    <t>Preco</t>
  </si>
  <si>
    <t>xxx</t>
  </si>
  <si>
    <t>Calça</t>
  </si>
  <si>
    <t>Camisa</t>
  </si>
  <si>
    <t>Blusa</t>
  </si>
  <si>
    <t>Meia</t>
  </si>
  <si>
    <t>Boné</t>
  </si>
  <si>
    <t>Vestido</t>
  </si>
  <si>
    <t>Terno</t>
  </si>
  <si>
    <t>Saia</t>
  </si>
  <si>
    <t>Tênis</t>
  </si>
  <si>
    <t>Sapato</t>
  </si>
  <si>
    <t>Total</t>
  </si>
  <si>
    <t>Quantidade</t>
  </si>
  <si>
    <t>Subtotal</t>
  </si>
  <si>
    <t>Dados indexados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</si>
</sst>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0" fontId="0" fillId="0" borderId="0" xfId="0" applyProtection="1">
      <protection locked="0"/>
    </xf>
    <xf numFmtId="0" fontId="2" fillId="0" borderId="0" xfId="0" applyFont="1" applyAlignment="1">
      <alignment horizontal="center"/>
    </xf>
    <xf numFmtId="0" fontId="2" fillId="0" borderId="0" xfId="0" applyFont="1"/>
    <xf numFmtId="44" fontId="2" fillId="0" borderId="0" xfId="0" applyNumberFormat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6B69C-81BA-463C-BBE7-F709174A3674}">
  <dimension ref="A1:J13"/>
  <sheetViews>
    <sheetView tabSelected="1" workbookViewId="0">
      <selection sqref="A1:E1"/>
    </sheetView>
  </sheetViews>
  <sheetFormatPr defaultColWidth="12.5703125" defaultRowHeight="15" x14ac:dyDescent="0.25"/>
  <cols>
    <col min="1" max="1" width="2.7109375" bestFit="1" customWidth="1"/>
    <col min="2" max="2" width="7.7109375" bestFit="1" customWidth="1"/>
    <col min="3" max="3" width="11.42578125" bestFit="1" customWidth="1"/>
    <col min="4" max="4" width="10.5703125" bestFit="1" customWidth="1"/>
    <col min="5" max="5" width="10.7109375" bestFit="1" customWidth="1"/>
    <col min="8" max="8" width="3" bestFit="1" customWidth="1"/>
    <col min="9" max="9" width="8.140625" bestFit="1" customWidth="1"/>
    <col min="10" max="10" width="10.5703125" bestFit="1" customWidth="1"/>
  </cols>
  <sheetData>
    <row r="1" spans="1:10" x14ac:dyDescent="0.25">
      <c r="A1" s="3" t="s">
        <v>3</v>
      </c>
      <c r="B1" s="3"/>
      <c r="C1" s="3"/>
      <c r="D1" s="3"/>
      <c r="E1" s="3"/>
      <c r="H1" s="3" t="s">
        <v>20</v>
      </c>
      <c r="I1" s="3"/>
      <c r="J1" s="3"/>
    </row>
    <row r="2" spans="1:10" x14ac:dyDescent="0.25">
      <c r="A2" s="4" t="s">
        <v>0</v>
      </c>
      <c r="B2" s="4" t="s">
        <v>4</v>
      </c>
      <c r="C2" s="4" t="s">
        <v>18</v>
      </c>
      <c r="D2" s="4" t="s">
        <v>5</v>
      </c>
      <c r="E2" s="4" t="s">
        <v>19</v>
      </c>
      <c r="H2" s="4" t="s">
        <v>0</v>
      </c>
      <c r="I2" s="4" t="s">
        <v>1</v>
      </c>
      <c r="J2" s="4" t="s">
        <v>2</v>
      </c>
    </row>
    <row r="3" spans="1:10" x14ac:dyDescent="0.25">
      <c r="A3" s="2">
        <v>2</v>
      </c>
      <c r="B3" t="str">
        <f>VLOOKUP(A3,$H$3:$J$13,2)</f>
        <v>Camisa</v>
      </c>
      <c r="C3" s="2">
        <v>3</v>
      </c>
      <c r="D3" s="1">
        <f>VLOOKUP(A3,$H$3:$J$13,3)</f>
        <v>120</v>
      </c>
      <c r="E3" s="1">
        <f>C3*D3</f>
        <v>360</v>
      </c>
      <c r="H3">
        <v>0</v>
      </c>
      <c r="I3" t="s">
        <v>6</v>
      </c>
      <c r="J3" s="1">
        <v>0</v>
      </c>
    </row>
    <row r="4" spans="1:10" x14ac:dyDescent="0.25">
      <c r="A4" s="2">
        <v>8</v>
      </c>
      <c r="B4" t="str">
        <f>VLOOKUP(A4,$H$3:$J$13,2)</f>
        <v>Saia</v>
      </c>
      <c r="C4" s="2">
        <v>2</v>
      </c>
      <c r="D4" s="1">
        <f>VLOOKUP(A4,$H$3:$J$13,3)</f>
        <v>79.349999999999994</v>
      </c>
      <c r="E4" s="1">
        <f t="shared" ref="E4:E11" si="0">C4*D4</f>
        <v>158.69999999999999</v>
      </c>
      <c r="H4">
        <v>1</v>
      </c>
      <c r="I4" t="s">
        <v>7</v>
      </c>
      <c r="J4" s="1">
        <v>100</v>
      </c>
    </row>
    <row r="5" spans="1:10" x14ac:dyDescent="0.25">
      <c r="A5" s="2">
        <v>1</v>
      </c>
      <c r="B5" t="str">
        <f>VLOOKUP(A5,$H$3:$J$13,2)</f>
        <v>Calça</v>
      </c>
      <c r="C5" s="2">
        <v>1</v>
      </c>
      <c r="D5" s="1">
        <f>VLOOKUP(A5,$H$3:$J$13,3)</f>
        <v>100</v>
      </c>
      <c r="E5" s="1">
        <f t="shared" si="0"/>
        <v>100</v>
      </c>
      <c r="H5">
        <v>2</v>
      </c>
      <c r="I5" t="s">
        <v>8</v>
      </c>
      <c r="J5" s="1">
        <v>120</v>
      </c>
    </row>
    <row r="6" spans="1:10" x14ac:dyDescent="0.25">
      <c r="A6" s="2"/>
      <c r="B6" t="str">
        <f>VLOOKUP(A6,$H$3:$J$13,2)</f>
        <v>xxx</v>
      </c>
      <c r="C6" s="2"/>
      <c r="D6" s="1">
        <f>VLOOKUP(A6,$H$3:$J$13,3)</f>
        <v>0</v>
      </c>
      <c r="E6" s="1">
        <f t="shared" si="0"/>
        <v>0</v>
      </c>
      <c r="H6">
        <v>3</v>
      </c>
      <c r="I6" t="s">
        <v>9</v>
      </c>
      <c r="J6" s="1">
        <v>50</v>
      </c>
    </row>
    <row r="7" spans="1:10" x14ac:dyDescent="0.25">
      <c r="A7" s="2"/>
      <c r="B7" t="str">
        <f>VLOOKUP(A7,$H$3:$J$13,2)</f>
        <v>xxx</v>
      </c>
      <c r="C7" s="2"/>
      <c r="D7" s="1">
        <f>VLOOKUP(A7,$H$3:$J$13,3)</f>
        <v>0</v>
      </c>
      <c r="E7" s="1">
        <f t="shared" si="0"/>
        <v>0</v>
      </c>
      <c r="H7">
        <v>4</v>
      </c>
      <c r="I7" t="s">
        <v>10</v>
      </c>
      <c r="J7" s="1">
        <v>75.900000000000006</v>
      </c>
    </row>
    <row r="8" spans="1:10" x14ac:dyDescent="0.25">
      <c r="A8" s="2"/>
      <c r="B8" t="str">
        <f>VLOOKUP(A8,$H$3:$J$13,2)</f>
        <v>xxx</v>
      </c>
      <c r="C8" s="2"/>
      <c r="D8" s="1">
        <f>VLOOKUP(A8,$H$3:$J$13,3)</f>
        <v>0</v>
      </c>
      <c r="E8" s="1">
        <f t="shared" si="0"/>
        <v>0</v>
      </c>
      <c r="H8">
        <v>5</v>
      </c>
      <c r="I8" t="s">
        <v>11</v>
      </c>
      <c r="J8" s="1">
        <v>39.9</v>
      </c>
    </row>
    <row r="9" spans="1:10" x14ac:dyDescent="0.25">
      <c r="A9" s="2"/>
      <c r="B9" t="str">
        <f>VLOOKUP(A9,$H$3:$J$13,2)</f>
        <v>xxx</v>
      </c>
      <c r="C9" s="2"/>
      <c r="D9" s="1">
        <f>VLOOKUP(A9,$H$3:$J$13,3)</f>
        <v>0</v>
      </c>
      <c r="E9" s="1">
        <f t="shared" si="0"/>
        <v>0</v>
      </c>
      <c r="H9">
        <v>6</v>
      </c>
      <c r="I9" t="s">
        <v>12</v>
      </c>
      <c r="J9" s="1">
        <v>225.35</v>
      </c>
    </row>
    <row r="10" spans="1:10" x14ac:dyDescent="0.25">
      <c r="A10" s="2"/>
      <c r="B10" t="str">
        <f>VLOOKUP(A10,$H$3:$J$13,2)</f>
        <v>xxx</v>
      </c>
      <c r="C10" s="2"/>
      <c r="D10" s="1">
        <f>VLOOKUP(A10,$H$3:$J$13,3)</f>
        <v>0</v>
      </c>
      <c r="E10" s="1">
        <f t="shared" si="0"/>
        <v>0</v>
      </c>
      <c r="H10">
        <v>7</v>
      </c>
      <c r="I10" t="s">
        <v>13</v>
      </c>
      <c r="J10" s="1">
        <v>199.9</v>
      </c>
    </row>
    <row r="11" spans="1:10" x14ac:dyDescent="0.25">
      <c r="A11" s="2"/>
      <c r="B11" t="str">
        <f>VLOOKUP(A11,$H$3:$J$13,2)</f>
        <v>xxx</v>
      </c>
      <c r="C11" s="2"/>
      <c r="D11" s="1">
        <f>VLOOKUP(A11,$H$3:$J$13,3)</f>
        <v>0</v>
      </c>
      <c r="E11" s="1">
        <f t="shared" si="0"/>
        <v>0</v>
      </c>
      <c r="H11">
        <v>8</v>
      </c>
      <c r="I11" t="s">
        <v>14</v>
      </c>
      <c r="J11" s="1">
        <v>79.349999999999994</v>
      </c>
    </row>
    <row r="12" spans="1:10" x14ac:dyDescent="0.25">
      <c r="D12" s="4" t="s">
        <v>17</v>
      </c>
      <c r="E12" s="5">
        <f>SUM(E3:E11)</f>
        <v>618.70000000000005</v>
      </c>
      <c r="H12">
        <v>9</v>
      </c>
      <c r="I12" t="s">
        <v>15</v>
      </c>
      <c r="J12" s="1">
        <v>399.9</v>
      </c>
    </row>
    <row r="13" spans="1:10" x14ac:dyDescent="0.25">
      <c r="H13">
        <v>10</v>
      </c>
      <c r="I13" t="s">
        <v>16</v>
      </c>
      <c r="J13" s="1">
        <v>199.9</v>
      </c>
    </row>
  </sheetData>
  <sortState xmlns:xlrd2="http://schemas.microsoft.com/office/spreadsheetml/2017/richdata2" ref="H3:J13">
    <sortCondition ref="H2:H13"/>
  </sortState>
  <mergeCells count="2">
    <mergeCell ref="A1:E1"/>
    <mergeCell ref="H1:J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 Giannini</dc:creator>
  <cp:lastModifiedBy>Ivo Giannini</cp:lastModifiedBy>
  <dcterms:created xsi:type="dcterms:W3CDTF">2025-03-22T12:12:27Z</dcterms:created>
  <dcterms:modified xsi:type="dcterms:W3CDTF">2025-03-22T12:47:14Z</dcterms:modified>
</cp:coreProperties>
</file>