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trutor\Documents\"/>
    </mc:Choice>
  </mc:AlternateContent>
  <xr:revisionPtr revIDLastSave="0" documentId="13_ncr:1_{C3B677CF-FD30-495F-9130-0E7C48853620}" xr6:coauthVersionLast="47" xr6:coauthVersionMax="47" xr10:uidLastSave="{00000000-0000-0000-0000-000000000000}"/>
  <bookViews>
    <workbookView xWindow="-120" yWindow="-120" windowWidth="29040" windowHeight="15720" activeTab="1" xr2:uid="{332E2A76-E186-4ECD-A0AF-ABD4E496D6F2}"/>
  </bookViews>
  <sheets>
    <sheet name="Financiamentos" sheetId="1" r:id="rId1"/>
    <sheet name="Salár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3" i="2"/>
  <c r="G4" i="2"/>
  <c r="G5" i="2"/>
  <c r="G6" i="2"/>
  <c r="G7" i="2"/>
  <c r="G8" i="2"/>
  <c r="G9" i="2"/>
  <c r="G10" i="2"/>
  <c r="G3" i="2"/>
  <c r="F4" i="2"/>
  <c r="F5" i="2"/>
  <c r="F6" i="2"/>
  <c r="F7" i="2"/>
  <c r="F8" i="2"/>
  <c r="F9" i="2"/>
  <c r="F10" i="2"/>
  <c r="F3" i="2"/>
  <c r="D3" i="2"/>
  <c r="D4" i="2"/>
  <c r="D5" i="2"/>
  <c r="D6" i="2"/>
  <c r="D7" i="2"/>
  <c r="D8" i="2"/>
  <c r="D9" i="2"/>
  <c r="D10" i="2"/>
  <c r="C11" i="1" l="1"/>
  <c r="G4" i="1" s="1"/>
  <c r="C4" i="1"/>
  <c r="C5" i="1"/>
  <c r="C6" i="1"/>
  <c r="C7" i="1"/>
  <c r="C3" i="1"/>
  <c r="G3" i="1" l="1"/>
  <c r="G7" i="1"/>
  <c r="H7" i="1" s="1"/>
  <c r="G6" i="1"/>
  <c r="H6" i="1" s="1"/>
  <c r="G5" i="1"/>
  <c r="H3" i="1"/>
  <c r="H4" i="1"/>
  <c r="H5" i="1"/>
</calcChain>
</file>

<file path=xl/sharedStrings.xml><?xml version="1.0" encoding="utf-8"?>
<sst xmlns="http://schemas.openxmlformats.org/spreadsheetml/2006/main" count="41" uniqueCount="40">
  <si>
    <t>Financiamentos</t>
  </si>
  <si>
    <t>Cliente</t>
  </si>
  <si>
    <t>Renda</t>
  </si>
  <si>
    <t>Valor Parcela</t>
  </si>
  <si>
    <t>Produto</t>
  </si>
  <si>
    <t>Preço</t>
  </si>
  <si>
    <t>N. Parcelas</t>
  </si>
  <si>
    <t>Parcela R$</t>
  </si>
  <si>
    <t>Aprovação</t>
  </si>
  <si>
    <t>Alfredo Sobrinho</t>
  </si>
  <si>
    <t>João Maria da Silva</t>
  </si>
  <si>
    <t>Maria José de Oliveira</t>
  </si>
  <si>
    <t>Ivone Souza</t>
  </si>
  <si>
    <t>Maurício Ribeiro</t>
  </si>
  <si>
    <t>Comprometimento</t>
  </si>
  <si>
    <t>Automóvel</t>
  </si>
  <si>
    <t>Celular</t>
  </si>
  <si>
    <t>Motocicleta</t>
  </si>
  <si>
    <t>Terreno</t>
  </si>
  <si>
    <t>Apartamento</t>
  </si>
  <si>
    <t>Juros</t>
  </si>
  <si>
    <t>ao ano</t>
  </si>
  <si>
    <t>ao mês</t>
  </si>
  <si>
    <t>Araras Informática - Hardware e Software
Rua São Francisco de Assis, 123 - Resende - RJ</t>
  </si>
  <si>
    <t>Nº</t>
  </si>
  <si>
    <t>NOME</t>
  </si>
  <si>
    <t>Salário Bruto</t>
  </si>
  <si>
    <t>INSS</t>
  </si>
  <si>
    <t>Gratificação</t>
  </si>
  <si>
    <t>INSS R$</t>
  </si>
  <si>
    <t>Gratificação R$</t>
  </si>
  <si>
    <t>Salário Líquido</t>
  </si>
  <si>
    <t>Eduardo</t>
  </si>
  <si>
    <t>Maria</t>
  </si>
  <si>
    <t>Helena</t>
  </si>
  <si>
    <t>Gabriela</t>
  </si>
  <si>
    <t>Edson</t>
  </si>
  <si>
    <t>Elisangela</t>
  </si>
  <si>
    <t>Regina</t>
  </si>
  <si>
    <t>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</si>
</sst>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44" fontId="0" fillId="0" borderId="0" xfId="1" applyFont="1"/>
    <xf numFmtId="10" fontId="0" fillId="0" borderId="0" xfId="0" applyNumberFormat="1"/>
    <xf numFmtId="9" fontId="0" fillId="0" borderId="0" xfId="2" applyFont="1"/>
    <xf numFmtId="10" fontId="0" fillId="0" borderId="0" xfId="2" applyNumberFormat="1" applyFont="1"/>
    <xf numFmtId="0" fontId="0" fillId="0" borderId="0" xfId="0" applyAlignment="1">
      <alignment horizontal="center" wrapText="1"/>
    </xf>
    <xf numFmtId="4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2F24-380A-40D6-8EBF-CD17FC759B20}">
  <dimension ref="A1:H14"/>
  <sheetViews>
    <sheetView zoomScale="190" zoomScaleNormal="190" workbookViewId="0">
      <selection activeCell="F4" sqref="F4"/>
    </sheetView>
  </sheetViews>
  <sheetFormatPr defaultRowHeight="15" x14ac:dyDescent="0.25"/>
  <cols>
    <col min="1" max="1" width="20.5703125" bestFit="1" customWidth="1"/>
    <col min="2" max="2" width="12.42578125" bestFit="1" customWidth="1"/>
    <col min="3" max="3" width="12.85546875" bestFit="1" customWidth="1"/>
    <col min="4" max="4" width="12.42578125" bestFit="1" customWidth="1"/>
    <col min="5" max="5" width="14.5703125" bestFit="1" customWidth="1"/>
    <col min="6" max="6" width="11.140625" bestFit="1" customWidth="1"/>
    <col min="7" max="7" width="17.42578125" bestFit="1" customWidth="1"/>
    <col min="8" max="8" width="10.42578125" bestFit="1" customWidth="1"/>
  </cols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s="2">
        <v>3500</v>
      </c>
      <c r="C3" s="2">
        <f>B3*$A$10</f>
        <v>1050</v>
      </c>
      <c r="D3" t="s">
        <v>15</v>
      </c>
      <c r="E3" s="2">
        <v>30000</v>
      </c>
      <c r="F3">
        <v>60</v>
      </c>
      <c r="G3" s="2">
        <f>(E3*(1+$C$11)^F3)/F3</f>
        <v>966.3028061112135</v>
      </c>
      <c r="H3" t="str">
        <f>IF(C3&gt;G3,"Aprovado","Reprovado")</f>
        <v>Aprovado</v>
      </c>
    </row>
    <row r="4" spans="1:8" x14ac:dyDescent="0.25">
      <c r="A4" t="s">
        <v>10</v>
      </c>
      <c r="B4" s="2">
        <v>2600</v>
      </c>
      <c r="C4" s="2">
        <f t="shared" ref="C4:C7" si="0">B4*$A$10</f>
        <v>780</v>
      </c>
      <c r="D4" t="s">
        <v>16</v>
      </c>
      <c r="E4" s="2">
        <v>2600</v>
      </c>
      <c r="F4">
        <v>24</v>
      </c>
      <c r="G4" s="2">
        <f t="shared" ref="G4:G7" si="1">(E4*(1+$C$11)^F4)/F4</f>
        <v>141.00009355424621</v>
      </c>
      <c r="H4" t="str">
        <f t="shared" ref="H4:H7" si="2">IF(C4&gt;G4,"Aprovado","Reprovado")</f>
        <v>Aprovado</v>
      </c>
    </row>
    <row r="5" spans="1:8" x14ac:dyDescent="0.25">
      <c r="A5" t="s">
        <v>11</v>
      </c>
      <c r="B5" s="2">
        <v>5000</v>
      </c>
      <c r="C5" s="2">
        <f t="shared" si="0"/>
        <v>1500</v>
      </c>
      <c r="D5" t="s">
        <v>17</v>
      </c>
      <c r="E5" s="2">
        <v>8000</v>
      </c>
      <c r="F5">
        <v>48</v>
      </c>
      <c r="G5" s="2">
        <f t="shared" si="1"/>
        <v>282.33410247062039</v>
      </c>
      <c r="H5" t="str">
        <f t="shared" si="2"/>
        <v>Aprovado</v>
      </c>
    </row>
    <row r="6" spans="1:8" x14ac:dyDescent="0.25">
      <c r="A6" t="s">
        <v>12</v>
      </c>
      <c r="B6" s="2">
        <v>1500</v>
      </c>
      <c r="C6" s="2">
        <f t="shared" si="0"/>
        <v>450</v>
      </c>
      <c r="D6" t="s">
        <v>18</v>
      </c>
      <c r="E6" s="2">
        <v>100000</v>
      </c>
      <c r="F6">
        <v>300</v>
      </c>
      <c r="G6" s="2">
        <f t="shared" si="1"/>
        <v>8986.5899813053074</v>
      </c>
      <c r="H6" t="str">
        <f t="shared" si="2"/>
        <v>Reprovado</v>
      </c>
    </row>
    <row r="7" spans="1:8" x14ac:dyDescent="0.25">
      <c r="A7" t="s">
        <v>13</v>
      </c>
      <c r="B7" s="2">
        <v>1800</v>
      </c>
      <c r="C7" s="2">
        <f t="shared" si="0"/>
        <v>540</v>
      </c>
      <c r="D7" t="s">
        <v>19</v>
      </c>
      <c r="E7" s="2">
        <v>180000</v>
      </c>
      <c r="F7">
        <v>420</v>
      </c>
      <c r="G7" s="2">
        <f t="shared" si="1"/>
        <v>43154.478165101136</v>
      </c>
      <c r="H7" t="str">
        <f t="shared" si="2"/>
        <v>Reprovado</v>
      </c>
    </row>
    <row r="9" spans="1:8" x14ac:dyDescent="0.25">
      <c r="A9" t="s">
        <v>14</v>
      </c>
      <c r="C9" t="s">
        <v>20</v>
      </c>
      <c r="F9" s="4"/>
    </row>
    <row r="10" spans="1:8" x14ac:dyDescent="0.25">
      <c r="A10" s="1">
        <v>0.3</v>
      </c>
      <c r="B10" t="s">
        <v>2</v>
      </c>
      <c r="C10" s="3">
        <v>0.13250000000000001</v>
      </c>
      <c r="D10" t="s">
        <v>21</v>
      </c>
    </row>
    <row r="11" spans="1:8" x14ac:dyDescent="0.25">
      <c r="A11" s="1"/>
      <c r="C11" s="5">
        <f>C10/12</f>
        <v>1.1041666666666667E-2</v>
      </c>
      <c r="D11" t="s">
        <v>22</v>
      </c>
    </row>
    <row r="12" spans="1:8" x14ac:dyDescent="0.25">
      <c r="A12" s="1"/>
    </row>
    <row r="13" spans="1:8" x14ac:dyDescent="0.25">
      <c r="A13" s="1"/>
    </row>
    <row r="14" spans="1:8" x14ac:dyDescent="0.25">
      <c r="A14" s="1"/>
    </row>
  </sheetData>
  <conditionalFormatting sqref="H3:H7">
    <cfRule type="cellIs" dxfId="0" priority="2" operator="equal">
      <formula>"Aprovado"</formula>
    </cfRule>
    <cfRule type="cellIs" dxfId="1" priority="1" operator="equal">
      <formula>"Reprovado"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F5A46-899A-411E-B052-980FA079ACB1}">
  <dimension ref="A1:J10"/>
  <sheetViews>
    <sheetView tabSelected="1" zoomScale="190" zoomScaleNormal="190" workbookViewId="0">
      <selection activeCell="I9" sqref="I9"/>
    </sheetView>
  </sheetViews>
  <sheetFormatPr defaultRowHeight="15" x14ac:dyDescent="0.25"/>
  <cols>
    <col min="1" max="1" width="3.28515625" bestFit="1" customWidth="1"/>
    <col min="2" max="2" width="10.140625" bestFit="1" customWidth="1"/>
    <col min="3" max="3" width="12.42578125" bestFit="1" customWidth="1"/>
    <col min="4" max="4" width="8.42578125" bestFit="1" customWidth="1"/>
    <col min="5" max="5" width="11.85546875" bestFit="1" customWidth="1"/>
    <col min="6" max="6" width="10.7109375" bestFit="1" customWidth="1"/>
    <col min="7" max="7" width="14.5703125" bestFit="1" customWidth="1"/>
    <col min="8" max="8" width="14.42578125" bestFit="1" customWidth="1"/>
  </cols>
  <sheetData>
    <row r="1" spans="1:10" ht="30" customHeight="1" x14ac:dyDescent="0.25">
      <c r="A1" s="6" t="s">
        <v>23</v>
      </c>
      <c r="B1" s="6"/>
      <c r="C1" s="6"/>
      <c r="D1" s="6"/>
      <c r="E1" s="6"/>
      <c r="F1" s="6"/>
      <c r="G1" s="6"/>
      <c r="H1" s="6"/>
    </row>
    <row r="2" spans="1:10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</row>
    <row r="3" spans="1:10" x14ac:dyDescent="0.25">
      <c r="A3">
        <v>1</v>
      </c>
      <c r="B3" t="s">
        <v>32</v>
      </c>
      <c r="C3" s="2">
        <v>1640</v>
      </c>
      <c r="D3" s="5">
        <f>IF(C3&lt;1518,7.5%,IF(C3&lt;2793.88,9%,IF(C3&lt;4190.84,12%,14%)))</f>
        <v>0.09</v>
      </c>
      <c r="E3" s="5">
        <v>0.09</v>
      </c>
      <c r="F3" s="7">
        <f>C3*D3</f>
        <v>147.6</v>
      </c>
      <c r="G3" s="7">
        <f>C3*E3</f>
        <v>147.6</v>
      </c>
      <c r="H3" s="7">
        <f>C3-F3+G3</f>
        <v>1640</v>
      </c>
      <c r="J3" s="1"/>
    </row>
    <row r="4" spans="1:10" x14ac:dyDescent="0.25">
      <c r="A4">
        <v>2</v>
      </c>
      <c r="B4" t="s">
        <v>33</v>
      </c>
      <c r="C4" s="2">
        <v>2200</v>
      </c>
      <c r="D4" s="5">
        <f t="shared" ref="D4:D10" si="0">IF(C4&lt;1518,7.5%,IF(C4&lt;2793.88,9%,IF(C4&lt;4190.84,12%,14%)))</f>
        <v>0.09</v>
      </c>
      <c r="E4" s="5">
        <v>0.08</v>
      </c>
      <c r="F4" s="7">
        <f t="shared" ref="F4:F10" si="1">C4*D4</f>
        <v>198</v>
      </c>
      <c r="G4" s="7">
        <f t="shared" ref="G4:G10" si="2">C4*E4</f>
        <v>176</v>
      </c>
      <c r="H4" s="7">
        <f t="shared" ref="H4:H10" si="3">C4-F4+G4</f>
        <v>2178</v>
      </c>
    </row>
    <row r="5" spans="1:10" x14ac:dyDescent="0.25">
      <c r="A5">
        <v>3</v>
      </c>
      <c r="B5" t="s">
        <v>34</v>
      </c>
      <c r="C5" s="2">
        <v>3200</v>
      </c>
      <c r="D5" s="5">
        <f t="shared" si="0"/>
        <v>0.12</v>
      </c>
      <c r="E5" s="5">
        <v>0.06</v>
      </c>
      <c r="F5" s="7">
        <f t="shared" si="1"/>
        <v>384</v>
      </c>
      <c r="G5" s="7">
        <f t="shared" si="2"/>
        <v>192</v>
      </c>
      <c r="H5" s="7">
        <f t="shared" si="3"/>
        <v>3008</v>
      </c>
    </row>
    <row r="6" spans="1:10" x14ac:dyDescent="0.25">
      <c r="A6">
        <v>4</v>
      </c>
      <c r="B6" t="s">
        <v>35</v>
      </c>
      <c r="C6" s="2">
        <v>2800</v>
      </c>
      <c r="D6" s="5">
        <f t="shared" si="0"/>
        <v>0.12</v>
      </c>
      <c r="E6" s="5">
        <v>0.06</v>
      </c>
      <c r="F6" s="7">
        <f t="shared" si="1"/>
        <v>336</v>
      </c>
      <c r="G6" s="7">
        <f t="shared" si="2"/>
        <v>168</v>
      </c>
      <c r="H6" s="7">
        <f t="shared" si="3"/>
        <v>2632</v>
      </c>
    </row>
    <row r="7" spans="1:10" x14ac:dyDescent="0.25">
      <c r="A7">
        <v>5</v>
      </c>
      <c r="B7" t="s">
        <v>36</v>
      </c>
      <c r="C7" s="2">
        <v>1750</v>
      </c>
      <c r="D7" s="5">
        <f t="shared" si="0"/>
        <v>0.09</v>
      </c>
      <c r="E7" s="5">
        <v>7.0000000000000007E-2</v>
      </c>
      <c r="F7" s="7">
        <f t="shared" si="1"/>
        <v>157.5</v>
      </c>
      <c r="G7" s="7">
        <f t="shared" si="2"/>
        <v>122.50000000000001</v>
      </c>
      <c r="H7" s="7">
        <f t="shared" si="3"/>
        <v>1715</v>
      </c>
    </row>
    <row r="8" spans="1:10" x14ac:dyDescent="0.25">
      <c r="A8">
        <v>6</v>
      </c>
      <c r="B8" t="s">
        <v>37</v>
      </c>
      <c r="C8" s="2">
        <v>2200</v>
      </c>
      <c r="D8" s="5">
        <f t="shared" si="0"/>
        <v>0.09</v>
      </c>
      <c r="E8" s="5">
        <v>0.05</v>
      </c>
      <c r="F8" s="7">
        <f t="shared" si="1"/>
        <v>198</v>
      </c>
      <c r="G8" s="7">
        <f t="shared" si="2"/>
        <v>110</v>
      </c>
      <c r="H8" s="7">
        <f t="shared" si="3"/>
        <v>2112</v>
      </c>
    </row>
    <row r="9" spans="1:10" x14ac:dyDescent="0.25">
      <c r="A9">
        <v>7</v>
      </c>
      <c r="B9" t="s">
        <v>38</v>
      </c>
      <c r="C9" s="2">
        <v>1530</v>
      </c>
      <c r="D9" s="5">
        <f t="shared" si="0"/>
        <v>0.09</v>
      </c>
      <c r="E9" s="5">
        <v>0.05</v>
      </c>
      <c r="F9" s="7">
        <f t="shared" si="1"/>
        <v>137.69999999999999</v>
      </c>
      <c r="G9" s="7">
        <f t="shared" si="2"/>
        <v>76.5</v>
      </c>
      <c r="H9" s="7">
        <f t="shared" si="3"/>
        <v>1468.8</v>
      </c>
    </row>
    <row r="10" spans="1:10" x14ac:dyDescent="0.25">
      <c r="A10">
        <v>8</v>
      </c>
      <c r="B10" t="s">
        <v>39</v>
      </c>
      <c r="C10" s="2">
        <v>800</v>
      </c>
      <c r="D10" s="5">
        <f t="shared" si="0"/>
        <v>7.4999999999999997E-2</v>
      </c>
      <c r="E10" s="5">
        <v>0.04</v>
      </c>
      <c r="F10" s="7">
        <f t="shared" si="1"/>
        <v>60</v>
      </c>
      <c r="G10" s="7">
        <f t="shared" si="2"/>
        <v>32</v>
      </c>
      <c r="H10" s="7">
        <f t="shared" si="3"/>
        <v>772</v>
      </c>
    </row>
  </sheetData>
  <mergeCells count="1">
    <mergeCell ref="A1:H1"/>
  </mergeCells>
  <conditionalFormatting sqref="H3:H1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{54737A2F-0791-4F65-9455-B52951FBCD2A}</x14:id>
        </ext>
      </extLst>
    </cfRule>
  </conditionalFormatting>
  <conditionalFormatting sqref="D3:D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737A2F-0791-4F65-9455-B52951FBCD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H3:H10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Financiamentos</vt:lpstr>
      <vt:lpstr>Salários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FABIO DE OLIVEIRA MARTINS</dc:creator>
  <cp:lastModifiedBy>WELLINGTON FABIO DE OLIVEIRA MARTINS</cp:lastModifiedBy>
  <dcterms:created xsi:type="dcterms:W3CDTF">2025-03-15T12:02:59Z</dcterms:created>
  <dcterms:modified xsi:type="dcterms:W3CDTF">2025-03-15T15:11:45Z</dcterms:modified>
</cp:coreProperties>
</file>