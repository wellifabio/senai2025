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imelineCaches/timelineCache1.xml" ContentType="application/vnd.ms-excel.timeline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slicers/slicer1.xml" ContentType="application/vnd.ms-excel.slicer+xml"/>
  <Override PartName="/xl/timelines/timeline1.xml" ContentType="application/vnd.ms-excel.timelin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ofessor\Downloads\"/>
    </mc:Choice>
  </mc:AlternateContent>
  <xr:revisionPtr revIDLastSave="0" documentId="8_{73EB6491-3D48-46A8-A611-A1E69F674B7B}" xr6:coauthVersionLast="47" xr6:coauthVersionMax="47" xr10:uidLastSave="{00000000-0000-0000-0000-000000000000}"/>
  <bookViews>
    <workbookView xWindow="-120" yWindow="-120" windowWidth="29040" windowHeight="15720" firstSheet="1" activeTab="5" xr2:uid="{CF6583D6-9777-4D9C-87B1-3E1973625B15}"/>
  </bookViews>
  <sheets>
    <sheet name="Preço dos veículos" sheetId="2" r:id="rId1"/>
    <sheet name="Quantidade de veículos" sheetId="4" r:id="rId2"/>
    <sheet name="Vendedores quantidade" sheetId="5" r:id="rId3"/>
    <sheet name="Vendedores preço" sheetId="6" r:id="rId4"/>
    <sheet name="Vendas" sheetId="1" r:id="rId5"/>
    <sheet name="Dashboard" sheetId="7" r:id="rId6"/>
  </sheets>
  <definedNames>
    <definedName name="NativeTimeline_Data">#N/A</definedName>
    <definedName name="SegmentaçãodeDados_Veículo">#N/A</definedName>
    <definedName name="SegmentaçãodeDados_Vendedor">#N/A</definedName>
  </definedNames>
  <calcPr calcId="191029"/>
  <pivotCaches>
    <pivotCache cacheId="12" r:id="rId7"/>
  </pivotCaches>
  <extLst>
    <ext xmlns:x14="http://schemas.microsoft.com/office/spreadsheetml/2009/9/main" uri="{BBE1A952-AA13-448e-AADC-164F8A28A991}">
      <x14:slicerCaches>
        <x14:slicerCache r:id="rId8"/>
        <x14:slicerCache r:id="rId9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D0CA8CA8-9F24-4464-BF8E-62219DCF47F9}">
      <x15:timelineCacheRefs>
        <x15:timelineCacheRef r:id="rId10"/>
      </x15:timelineCacheRefs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6" i="1" l="1"/>
  <c r="M6" i="1" s="1"/>
  <c r="L12" i="1"/>
  <c r="M12" i="1" s="1"/>
  <c r="L7" i="1"/>
  <c r="M7" i="1" s="1"/>
  <c r="L11" i="1"/>
  <c r="M11" i="1" s="1"/>
  <c r="L10" i="1"/>
  <c r="L5" i="1"/>
  <c r="L9" i="1"/>
  <c r="L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4" i="1"/>
  <c r="L17" i="1" l="1"/>
  <c r="M17" i="1" s="1"/>
  <c r="L16" i="1"/>
  <c r="M16" i="1" s="1"/>
  <c r="L14" i="1"/>
  <c r="L19" i="1" s="1"/>
  <c r="L15" i="1"/>
</calcChain>
</file>

<file path=xl/sharedStrings.xml><?xml version="1.0" encoding="utf-8"?>
<sst xmlns="http://schemas.openxmlformats.org/spreadsheetml/2006/main" count="235" uniqueCount="43">
  <si>
    <t>Concecionária Modelo</t>
  </si>
  <si>
    <t>Vendas do primeiro trimestre</t>
  </si>
  <si>
    <t>Comissão</t>
  </si>
  <si>
    <t>Veículo</t>
  </si>
  <si>
    <t>Data</t>
  </si>
  <si>
    <t>Vendedor</t>
  </si>
  <si>
    <t>Loja</t>
  </si>
  <si>
    <t>Custo</t>
  </si>
  <si>
    <t>Preço</t>
  </si>
  <si>
    <t>Prisma</t>
  </si>
  <si>
    <t>Arnaldo</t>
  </si>
  <si>
    <t>Holambra</t>
  </si>
  <si>
    <t>Fiesta</t>
  </si>
  <si>
    <t>Simone</t>
  </si>
  <si>
    <t>Artut Nogueira</t>
  </si>
  <si>
    <t>Gol</t>
  </si>
  <si>
    <t>Mariana</t>
  </si>
  <si>
    <t>Amparo</t>
  </si>
  <si>
    <t>Luiza</t>
  </si>
  <si>
    <t>Jaguariúna</t>
  </si>
  <si>
    <t>Ka</t>
  </si>
  <si>
    <t>Suelem</t>
  </si>
  <si>
    <t>Uno</t>
  </si>
  <si>
    <t>Corsa</t>
  </si>
  <si>
    <t>Celta</t>
  </si>
  <si>
    <t>Pedreira</t>
  </si>
  <si>
    <t>Pálio</t>
  </si>
  <si>
    <t>Soma</t>
  </si>
  <si>
    <t>Média</t>
  </si>
  <si>
    <t>Máximo</t>
  </si>
  <si>
    <t>Mínimo</t>
  </si>
  <si>
    <t>Lucro</t>
  </si>
  <si>
    <t>Faturamento</t>
  </si>
  <si>
    <t>Comissões</t>
  </si>
  <si>
    <t>Estatísticas - Análises</t>
  </si>
  <si>
    <t>Quantitativa</t>
  </si>
  <si>
    <t>Qualitativa</t>
  </si>
  <si>
    <t>Rótulos de Linha</t>
  </si>
  <si>
    <t>Total Geral</t>
  </si>
  <si>
    <t>Soma de Preço</t>
  </si>
  <si>
    <t>Contagem de Preço</t>
  </si>
  <si>
    <t>Contagem de Comissão</t>
  </si>
  <si>
    <t>Análise gráfica de Vendas de Veículos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</si>
</sst>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36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2">
    <xf numFmtId="0" fontId="0" fillId="0" borderId="0" xfId="0"/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1" xfId="0" applyFont="1" applyBorder="1"/>
    <xf numFmtId="9" fontId="2" fillId="0" borderId="1" xfId="0" applyNumberFormat="1" applyFont="1" applyBorder="1"/>
    <xf numFmtId="0" fontId="0" fillId="0" borderId="1" xfId="0" applyBorder="1"/>
    <xf numFmtId="14" fontId="0" fillId="0" borderId="1" xfId="0" applyNumberFormat="1" applyBorder="1"/>
    <xf numFmtId="44" fontId="0" fillId="0" borderId="1" xfId="0" applyNumberFormat="1" applyBorder="1"/>
    <xf numFmtId="44" fontId="0" fillId="0" borderId="1" xfId="1" applyFont="1" applyBorder="1"/>
    <xf numFmtId="44" fontId="0" fillId="0" borderId="0" xfId="0" applyNumberFormat="1"/>
    <xf numFmtId="0" fontId="2" fillId="0" borderId="0" xfId="0" applyFont="1" applyAlignment="1">
      <alignment horizontal="center"/>
    </xf>
    <xf numFmtId="0" fontId="2" fillId="0" borderId="0" xfId="0" applyFont="1"/>
    <xf numFmtId="44" fontId="2" fillId="0" borderId="0" xfId="0" applyNumberFormat="1" applyFont="1"/>
    <xf numFmtId="0" fontId="2" fillId="0" borderId="0" xfId="0" applyFont="1" applyAlignment="1"/>
    <xf numFmtId="0" fontId="2" fillId="0" borderId="0" xfId="0" applyFont="1" applyBorder="1" applyAlignment="1">
      <alignment horizontal="center"/>
    </xf>
    <xf numFmtId="9" fontId="2" fillId="0" borderId="0" xfId="0" applyNumberFormat="1" applyFont="1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3" fillId="2" borderId="0" xfId="0" applyFont="1" applyFill="1"/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1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microsoft.com/office/2011/relationships/timelineCache" Target="timelineCaches/timelineCache1.xml"/><Relationship Id="rId4" Type="http://schemas.openxmlformats.org/officeDocument/2006/relationships/worksheet" Target="worksheets/sheet4.xml"/><Relationship Id="rId9" Type="http://schemas.microsoft.com/office/2007/relationships/slicerCache" Target="slicerCaches/slicerCache2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[Dashboard02.xlsx]Preço dos veículos!Tabela dinâmica1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Preço dos veículos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'Preço dos veículos'!$B$1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'Preço dos veículos'!$A$2:$A$10</c:f>
              <c:strCache>
                <c:ptCount val="8"/>
                <c:pt idx="0">
                  <c:v>Celta</c:v>
                </c:pt>
                <c:pt idx="1">
                  <c:v>Corsa</c:v>
                </c:pt>
                <c:pt idx="2">
                  <c:v>Fiesta</c:v>
                </c:pt>
                <c:pt idx="3">
                  <c:v>Gol</c:v>
                </c:pt>
                <c:pt idx="4">
                  <c:v>Ka</c:v>
                </c:pt>
                <c:pt idx="5">
                  <c:v>Pálio</c:v>
                </c:pt>
                <c:pt idx="6">
                  <c:v>Prisma</c:v>
                </c:pt>
                <c:pt idx="7">
                  <c:v>Uno</c:v>
                </c:pt>
              </c:strCache>
            </c:strRef>
          </c:cat>
          <c:val>
            <c:numRef>
              <c:f>'Preço dos veículos'!$B$2:$B$10</c:f>
              <c:numCache>
                <c:formatCode>General</c:formatCode>
                <c:ptCount val="8"/>
                <c:pt idx="0">
                  <c:v>149288</c:v>
                </c:pt>
                <c:pt idx="1">
                  <c:v>17165</c:v>
                </c:pt>
                <c:pt idx="2">
                  <c:v>117394</c:v>
                </c:pt>
                <c:pt idx="3">
                  <c:v>71137</c:v>
                </c:pt>
                <c:pt idx="4">
                  <c:v>205139</c:v>
                </c:pt>
                <c:pt idx="5">
                  <c:v>54749</c:v>
                </c:pt>
                <c:pt idx="6">
                  <c:v>106991</c:v>
                </c:pt>
                <c:pt idx="7">
                  <c:v>102021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824-455F-893D-793EDDB62F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34014367"/>
        <c:axId val="408372751"/>
      </c:barChart>
      <c:catAx>
        <c:axId val="4340143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08372751"/>
        <c:crosses val="autoZero"/>
        <c:auto val="1"/>
        <c:lblAlgn val="ctr"/>
        <c:lblOffset val="100"/>
        <c:noMultiLvlLbl val="0"/>
      </c:catAx>
      <c:valAx>
        <c:axId val="4083727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340143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[Dashboard02.xlsx]Quantidade de veículos!Tabela dinâmica3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Veículos quantidade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'Quantidade de veículos'!$B$1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'Quantidade de veículos'!$A$2:$A$10</c:f>
              <c:strCache>
                <c:ptCount val="8"/>
                <c:pt idx="0">
                  <c:v>Celta</c:v>
                </c:pt>
                <c:pt idx="1">
                  <c:v>Corsa</c:v>
                </c:pt>
                <c:pt idx="2">
                  <c:v>Fiesta</c:v>
                </c:pt>
                <c:pt idx="3">
                  <c:v>Gol</c:v>
                </c:pt>
                <c:pt idx="4">
                  <c:v>Ka</c:v>
                </c:pt>
                <c:pt idx="5">
                  <c:v>Pálio</c:v>
                </c:pt>
                <c:pt idx="6">
                  <c:v>Prisma</c:v>
                </c:pt>
                <c:pt idx="7">
                  <c:v>Uno</c:v>
                </c:pt>
              </c:strCache>
            </c:strRef>
          </c:cat>
          <c:val>
            <c:numRef>
              <c:f>'Quantidade de veículos'!$B$2:$B$10</c:f>
              <c:numCache>
                <c:formatCode>General</c:formatCode>
                <c:ptCount val="8"/>
                <c:pt idx="0">
                  <c:v>6</c:v>
                </c:pt>
                <c:pt idx="1">
                  <c:v>1</c:v>
                </c:pt>
                <c:pt idx="2">
                  <c:v>5</c:v>
                </c:pt>
                <c:pt idx="3">
                  <c:v>3</c:v>
                </c:pt>
                <c:pt idx="4">
                  <c:v>8</c:v>
                </c:pt>
                <c:pt idx="5">
                  <c:v>3</c:v>
                </c:pt>
                <c:pt idx="6">
                  <c:v>3</c:v>
                </c:pt>
                <c:pt idx="7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A8C-4196-92EB-90B9C232D1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[Dashboard02.xlsx]Vendedores quantidade!Tabela dinâmica4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Vendedores</a:t>
            </a:r>
            <a:r>
              <a:rPr lang="en-US" baseline="0"/>
              <a:t> quantidade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'Vendedores quantidade'!$B$1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'Vendedores quantidade'!$A$2:$A$7</c:f>
              <c:strCache>
                <c:ptCount val="5"/>
                <c:pt idx="0">
                  <c:v>Arnaldo</c:v>
                </c:pt>
                <c:pt idx="1">
                  <c:v>Luiza</c:v>
                </c:pt>
                <c:pt idx="2">
                  <c:v>Mariana</c:v>
                </c:pt>
                <c:pt idx="3">
                  <c:v>Simone</c:v>
                </c:pt>
                <c:pt idx="4">
                  <c:v>Suelem</c:v>
                </c:pt>
              </c:strCache>
            </c:strRef>
          </c:cat>
          <c:val>
            <c:numRef>
              <c:f>'Vendedores quantidade'!$B$2:$B$7</c:f>
              <c:numCache>
                <c:formatCode>General</c:formatCode>
                <c:ptCount val="5"/>
                <c:pt idx="0">
                  <c:v>7</c:v>
                </c:pt>
                <c:pt idx="1">
                  <c:v>7</c:v>
                </c:pt>
                <c:pt idx="2">
                  <c:v>8</c:v>
                </c:pt>
                <c:pt idx="3">
                  <c:v>4</c:v>
                </c:pt>
                <c:pt idx="4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4DE-4F66-BB7F-2F9B9B0DDD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39166591"/>
        <c:axId val="439167071"/>
      </c:barChart>
      <c:catAx>
        <c:axId val="4391665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39167071"/>
        <c:crosses val="autoZero"/>
        <c:auto val="1"/>
        <c:lblAlgn val="ctr"/>
        <c:lblOffset val="100"/>
        <c:noMultiLvlLbl val="0"/>
      </c:catAx>
      <c:valAx>
        <c:axId val="439167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391665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[Dashboard02.xlsx]Vendedores preço!Tabela dinâmica5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Vendedores Faturamento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'Vendedores preço'!$B$1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'Vendedores preço'!$A$2:$A$7</c:f>
              <c:strCache>
                <c:ptCount val="5"/>
                <c:pt idx="0">
                  <c:v>Arnaldo</c:v>
                </c:pt>
                <c:pt idx="1">
                  <c:v>Luiza</c:v>
                </c:pt>
                <c:pt idx="2">
                  <c:v>Mariana</c:v>
                </c:pt>
                <c:pt idx="3">
                  <c:v>Simone</c:v>
                </c:pt>
                <c:pt idx="4">
                  <c:v>Suelem</c:v>
                </c:pt>
              </c:strCache>
            </c:strRef>
          </c:cat>
          <c:val>
            <c:numRef>
              <c:f>'Vendedores preço'!$B$2:$B$7</c:f>
              <c:numCache>
                <c:formatCode>General</c:formatCode>
                <c:ptCount val="5"/>
                <c:pt idx="0">
                  <c:v>189869</c:v>
                </c:pt>
                <c:pt idx="1">
                  <c:v>173618</c:v>
                </c:pt>
                <c:pt idx="2">
                  <c:v>208368</c:v>
                </c:pt>
                <c:pt idx="3">
                  <c:v>92633</c:v>
                </c:pt>
                <c:pt idx="4">
                  <c:v>159396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F75-4B33-8F2E-FD49D135A3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09304703"/>
        <c:axId val="409305183"/>
      </c:barChart>
      <c:catAx>
        <c:axId val="4093047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09305183"/>
        <c:crosses val="autoZero"/>
        <c:auto val="1"/>
        <c:lblAlgn val="ctr"/>
        <c:lblOffset val="100"/>
        <c:noMultiLvlLbl val="0"/>
      </c:catAx>
      <c:valAx>
        <c:axId val="4093051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093047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[Dashboard02.xlsx]Preço dos veículos!Tabela dinâmica1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Preço dos veículos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'Preço dos veículos'!$B$1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'Preço dos veículos'!$A$2:$A$10</c:f>
              <c:strCache>
                <c:ptCount val="8"/>
                <c:pt idx="0">
                  <c:v>Celta</c:v>
                </c:pt>
                <c:pt idx="1">
                  <c:v>Corsa</c:v>
                </c:pt>
                <c:pt idx="2">
                  <c:v>Fiesta</c:v>
                </c:pt>
                <c:pt idx="3">
                  <c:v>Gol</c:v>
                </c:pt>
                <c:pt idx="4">
                  <c:v>Ka</c:v>
                </c:pt>
                <c:pt idx="5">
                  <c:v>Pálio</c:v>
                </c:pt>
                <c:pt idx="6">
                  <c:v>Prisma</c:v>
                </c:pt>
                <c:pt idx="7">
                  <c:v>Uno</c:v>
                </c:pt>
              </c:strCache>
            </c:strRef>
          </c:cat>
          <c:val>
            <c:numRef>
              <c:f>'Preço dos veículos'!$B$2:$B$10</c:f>
              <c:numCache>
                <c:formatCode>General</c:formatCode>
                <c:ptCount val="8"/>
                <c:pt idx="0">
                  <c:v>149288</c:v>
                </c:pt>
                <c:pt idx="1">
                  <c:v>17165</c:v>
                </c:pt>
                <c:pt idx="2">
                  <c:v>117394</c:v>
                </c:pt>
                <c:pt idx="3">
                  <c:v>71137</c:v>
                </c:pt>
                <c:pt idx="4">
                  <c:v>205139</c:v>
                </c:pt>
                <c:pt idx="5">
                  <c:v>54749</c:v>
                </c:pt>
                <c:pt idx="6">
                  <c:v>106991</c:v>
                </c:pt>
                <c:pt idx="7">
                  <c:v>102021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876-409D-88BE-607BD50639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34014367"/>
        <c:axId val="408372751"/>
      </c:barChart>
      <c:catAx>
        <c:axId val="4340143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08372751"/>
        <c:crosses val="autoZero"/>
        <c:auto val="1"/>
        <c:lblAlgn val="ctr"/>
        <c:lblOffset val="100"/>
        <c:noMultiLvlLbl val="0"/>
      </c:catAx>
      <c:valAx>
        <c:axId val="4083727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340143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[Dashboard02.xlsx]Quantidade de veículos!Tabela dinâmica3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Veículos quantidade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'Quantidade de veículos'!$B$1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1A18-4ED7-BCAB-0C43DF1EBAD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1A18-4ED7-BCAB-0C43DF1EBAD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1A18-4ED7-BCAB-0C43DF1EBAD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1A18-4ED7-BCAB-0C43DF1EBAD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1A18-4ED7-BCAB-0C43DF1EBAD9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1A18-4ED7-BCAB-0C43DF1EBAD9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1A18-4ED7-BCAB-0C43DF1EBAD9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1A18-4ED7-BCAB-0C43DF1EBAD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'Quantidade de veículos'!$A$2:$A$10</c:f>
              <c:strCache>
                <c:ptCount val="8"/>
                <c:pt idx="0">
                  <c:v>Celta</c:v>
                </c:pt>
                <c:pt idx="1">
                  <c:v>Corsa</c:v>
                </c:pt>
                <c:pt idx="2">
                  <c:v>Fiesta</c:v>
                </c:pt>
                <c:pt idx="3">
                  <c:v>Gol</c:v>
                </c:pt>
                <c:pt idx="4">
                  <c:v>Ka</c:v>
                </c:pt>
                <c:pt idx="5">
                  <c:v>Pálio</c:v>
                </c:pt>
                <c:pt idx="6">
                  <c:v>Prisma</c:v>
                </c:pt>
                <c:pt idx="7">
                  <c:v>Uno</c:v>
                </c:pt>
              </c:strCache>
            </c:strRef>
          </c:cat>
          <c:val>
            <c:numRef>
              <c:f>'Quantidade de veículos'!$B$2:$B$10</c:f>
              <c:numCache>
                <c:formatCode>General</c:formatCode>
                <c:ptCount val="8"/>
                <c:pt idx="0">
                  <c:v>6</c:v>
                </c:pt>
                <c:pt idx="1">
                  <c:v>1</c:v>
                </c:pt>
                <c:pt idx="2">
                  <c:v>5</c:v>
                </c:pt>
                <c:pt idx="3">
                  <c:v>3</c:v>
                </c:pt>
                <c:pt idx="4">
                  <c:v>8</c:v>
                </c:pt>
                <c:pt idx="5">
                  <c:v>3</c:v>
                </c:pt>
                <c:pt idx="6">
                  <c:v>3</c:v>
                </c:pt>
                <c:pt idx="7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1A18-4ED7-BCAB-0C43DF1EBA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[Dashboard02.xlsx]Vendedores quantidade!Tabela dinâmica4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Vendedores</a:t>
            </a:r>
            <a:r>
              <a:rPr lang="en-US" baseline="0"/>
              <a:t> quantidade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'Vendedores quantidade'!$B$1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'Vendedores quantidade'!$A$2:$A$7</c:f>
              <c:strCache>
                <c:ptCount val="5"/>
                <c:pt idx="0">
                  <c:v>Arnaldo</c:v>
                </c:pt>
                <c:pt idx="1">
                  <c:v>Luiza</c:v>
                </c:pt>
                <c:pt idx="2">
                  <c:v>Mariana</c:v>
                </c:pt>
                <c:pt idx="3">
                  <c:v>Simone</c:v>
                </c:pt>
                <c:pt idx="4">
                  <c:v>Suelem</c:v>
                </c:pt>
              </c:strCache>
            </c:strRef>
          </c:cat>
          <c:val>
            <c:numRef>
              <c:f>'Vendedores quantidade'!$B$2:$B$7</c:f>
              <c:numCache>
                <c:formatCode>General</c:formatCode>
                <c:ptCount val="5"/>
                <c:pt idx="0">
                  <c:v>7</c:v>
                </c:pt>
                <c:pt idx="1">
                  <c:v>7</c:v>
                </c:pt>
                <c:pt idx="2">
                  <c:v>8</c:v>
                </c:pt>
                <c:pt idx="3">
                  <c:v>4</c:v>
                </c:pt>
                <c:pt idx="4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DB0-4B90-ADF5-49AB9C0EDB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39166591"/>
        <c:axId val="439167071"/>
      </c:barChart>
      <c:catAx>
        <c:axId val="4391665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39167071"/>
        <c:crosses val="autoZero"/>
        <c:auto val="1"/>
        <c:lblAlgn val="ctr"/>
        <c:lblOffset val="100"/>
        <c:noMultiLvlLbl val="0"/>
      </c:catAx>
      <c:valAx>
        <c:axId val="439167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391665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[Dashboard02.xlsx]Vendedores preço!Tabela dinâmica5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Vendedores Faturamento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'Vendedores preço'!$B$1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'Vendedores preço'!$A$2:$A$7</c:f>
              <c:strCache>
                <c:ptCount val="5"/>
                <c:pt idx="0">
                  <c:v>Arnaldo</c:v>
                </c:pt>
                <c:pt idx="1">
                  <c:v>Luiza</c:v>
                </c:pt>
                <c:pt idx="2">
                  <c:v>Mariana</c:v>
                </c:pt>
                <c:pt idx="3">
                  <c:v>Simone</c:v>
                </c:pt>
                <c:pt idx="4">
                  <c:v>Suelem</c:v>
                </c:pt>
              </c:strCache>
            </c:strRef>
          </c:cat>
          <c:val>
            <c:numRef>
              <c:f>'Vendedores preço'!$B$2:$B$7</c:f>
              <c:numCache>
                <c:formatCode>General</c:formatCode>
                <c:ptCount val="5"/>
                <c:pt idx="0">
                  <c:v>189869</c:v>
                </c:pt>
                <c:pt idx="1">
                  <c:v>173618</c:v>
                </c:pt>
                <c:pt idx="2">
                  <c:v>208368</c:v>
                </c:pt>
                <c:pt idx="3">
                  <c:v>92633</c:v>
                </c:pt>
                <c:pt idx="4">
                  <c:v>159396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BB-4389-AB3E-AD876531A9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09304703"/>
        <c:axId val="409305183"/>
      </c:barChart>
      <c:catAx>
        <c:axId val="4093047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09305183"/>
        <c:crosses val="autoZero"/>
        <c:auto val="1"/>
        <c:lblAlgn val="ctr"/>
        <c:lblOffset val="100"/>
        <c:noMultiLvlLbl val="0"/>
      </c:catAx>
      <c:valAx>
        <c:axId val="4093051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093047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123825</xdr:colOff>
      <xdr:row>0</xdr:row>
      <xdr:rowOff>47625</xdr:rowOff>
    </xdr:from>
    <xdr:to>
      <xdr:col>9</xdr:col>
      <xdr:colOff>428625</xdr:colOff>
      <xdr:row>14</xdr:row>
      <xdr:rowOff>123825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23416EAF-E75C-4C6A-C838-45655A420F8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171450</xdr:colOff>
      <xdr:row>0</xdr:row>
      <xdr:rowOff>9524</xdr:rowOff>
    </xdr:from>
    <xdr:to>
      <xdr:col>10</xdr:col>
      <xdr:colOff>342900</xdr:colOff>
      <xdr:row>15</xdr:row>
      <xdr:rowOff>95249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DF1441F0-6B4B-59D6-1B66-771AA3F597C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219075</xdr:colOff>
      <xdr:row>0</xdr:row>
      <xdr:rowOff>142875</xdr:rowOff>
    </xdr:from>
    <xdr:to>
      <xdr:col>9</xdr:col>
      <xdr:colOff>523875</xdr:colOff>
      <xdr:row>15</xdr:row>
      <xdr:rowOff>28575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84BBFC5E-D8F8-3DD6-D8DA-3081BFCA27F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11</xdr:col>
      <xdr:colOff>304800</xdr:colOff>
      <xdr:row>15</xdr:row>
      <xdr:rowOff>76200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4A708C1A-7DD4-77DD-F701-B9968C971D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200025</xdr:colOff>
      <xdr:row>2</xdr:row>
      <xdr:rowOff>9525</xdr:rowOff>
    </xdr:from>
    <xdr:to>
      <xdr:col>7</xdr:col>
      <xdr:colOff>504825</xdr:colOff>
      <xdr:row>16</xdr:row>
      <xdr:rowOff>85725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271CDD9-67D8-479D-9894-17EF1AFF211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428625</xdr:colOff>
      <xdr:row>1</xdr:row>
      <xdr:rowOff>85725</xdr:rowOff>
    </xdr:from>
    <xdr:to>
      <xdr:col>16</xdr:col>
      <xdr:colOff>600075</xdr:colOff>
      <xdr:row>16</xdr:row>
      <xdr:rowOff>171450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A5F903B1-E7D9-4D5E-80D5-31CECDCA308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133350</xdr:colOff>
      <xdr:row>17</xdr:row>
      <xdr:rowOff>171450</xdr:rowOff>
    </xdr:from>
    <xdr:to>
      <xdr:col>7</xdr:col>
      <xdr:colOff>438150</xdr:colOff>
      <xdr:row>32</xdr:row>
      <xdr:rowOff>57150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874EBBF-1B81-4241-97F2-1C5797CC3B6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581025</xdr:colOff>
      <xdr:row>17</xdr:row>
      <xdr:rowOff>133350</xdr:rowOff>
    </xdr:from>
    <xdr:to>
      <xdr:col>16</xdr:col>
      <xdr:colOff>276225</xdr:colOff>
      <xdr:row>32</xdr:row>
      <xdr:rowOff>19050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62F7FAFD-02AF-4715-9A19-A9B03AC463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17</xdr:col>
      <xdr:colOff>590550</xdr:colOff>
      <xdr:row>17</xdr:row>
      <xdr:rowOff>19050</xdr:rowOff>
    </xdr:from>
    <xdr:to>
      <xdr:col>20</xdr:col>
      <xdr:colOff>590550</xdr:colOff>
      <xdr:row>31</xdr:row>
      <xdr:rowOff>19050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6" name="Veículo">
              <a:extLst>
                <a:ext uri="{FF2B5EF4-FFF2-40B4-BE49-F238E27FC236}">
                  <a16:creationId xmlns:a16="http://schemas.microsoft.com/office/drawing/2014/main" id="{1FAF9351-498E-FC78-8031-81D2D7DD194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Veículo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953750" y="3657600"/>
              <a:ext cx="1828800" cy="2667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18</xdr:col>
      <xdr:colOff>38100</xdr:colOff>
      <xdr:row>1</xdr:row>
      <xdr:rowOff>104775</xdr:rowOff>
    </xdr:from>
    <xdr:to>
      <xdr:col>21</xdr:col>
      <xdr:colOff>38100</xdr:colOff>
      <xdr:row>15</xdr:row>
      <xdr:rowOff>104775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7" name="Vendedor">
              <a:extLst>
                <a:ext uri="{FF2B5EF4-FFF2-40B4-BE49-F238E27FC236}">
                  <a16:creationId xmlns:a16="http://schemas.microsoft.com/office/drawing/2014/main" id="{5364CA51-8F58-FDC6-F29D-D7A5D7C88A6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Vendedor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010900" y="695325"/>
              <a:ext cx="1828800" cy="2667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12</xdr:col>
      <xdr:colOff>9525</xdr:colOff>
      <xdr:row>32</xdr:row>
      <xdr:rowOff>57150</xdr:rowOff>
    </xdr:from>
    <xdr:to>
      <xdr:col>19</xdr:col>
      <xdr:colOff>466725</xdr:colOff>
      <xdr:row>38</xdr:row>
      <xdr:rowOff>171450</xdr:rowOff>
    </xdr:to>
    <mc:AlternateContent xmlns:mc="http://schemas.openxmlformats.org/markup-compatibility/2006">
      <mc:Choice xmlns:tsle="http://schemas.microsoft.com/office/drawing/2012/timeslicer" Requires="tsle">
        <xdr:graphicFrame macro="">
          <xdr:nvGraphicFramePr>
            <xdr:cNvPr id="8" name="Data">
              <a:extLst>
                <a:ext uri="{FF2B5EF4-FFF2-40B4-BE49-F238E27FC236}">
                  <a16:creationId xmlns:a16="http://schemas.microsoft.com/office/drawing/2014/main" id="{712AEBEB-E448-7468-2D4F-5F6FA066338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xmlns:tsle="http://schemas.microsoft.com/office/drawing/2012/timeslicer" name="Data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324725" y="6553200"/>
              <a:ext cx="4724400" cy="12573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Linha do tempo: Funciona em Excel 2013 ou superior. Não mover ou redimensionar.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rofessor" refreshedDate="45759.499852083332" createdVersion="8" refreshedVersion="8" minRefreshableVersion="3" recordCount="33" xr:uid="{5E166FAD-BB97-4734-8AE0-39A4305E2A53}">
  <cacheSource type="worksheet">
    <worksheetSource ref="A3:G36" sheet="Vendas"/>
  </cacheSource>
  <cacheFields count="7">
    <cacheField name="Veículo" numFmtId="0">
      <sharedItems count="8">
        <s v="Prisma"/>
        <s v="Fiesta"/>
        <s v="Gol"/>
        <s v="Ka"/>
        <s v="Uno"/>
        <s v="Corsa"/>
        <s v="Celta"/>
        <s v="Pálio"/>
      </sharedItems>
    </cacheField>
    <cacheField name="Data" numFmtId="14">
      <sharedItems containsSemiMixedTypes="0" containsNonDate="0" containsDate="1" containsString="0" minDate="2025-01-01T00:00:00" maxDate="2025-03-28T00:00:00" count="26">
        <d v="2025-01-22T00:00:00"/>
        <d v="2025-03-14T00:00:00"/>
        <d v="2025-02-26T00:00:00"/>
        <d v="2025-01-04T00:00:00"/>
        <d v="2025-03-25T00:00:00"/>
        <d v="2025-01-20T00:00:00"/>
        <d v="2025-01-14T00:00:00"/>
        <d v="2025-01-17T00:00:00"/>
        <d v="2025-03-27T00:00:00"/>
        <d v="2025-02-13T00:00:00"/>
        <d v="2025-01-21T00:00:00"/>
        <d v="2025-03-04T00:00:00"/>
        <d v="2025-03-15T00:00:00"/>
        <d v="2025-03-06T00:00:00"/>
        <d v="2025-01-07T00:00:00"/>
        <d v="2025-02-07T00:00:00"/>
        <d v="2025-03-03T00:00:00"/>
        <d v="2025-03-18T00:00:00"/>
        <d v="2025-01-30T00:00:00"/>
        <d v="2025-03-16T00:00:00"/>
        <d v="2025-01-01T00:00:00"/>
        <d v="2025-02-11T00:00:00"/>
        <d v="2025-02-23T00:00:00"/>
        <d v="2025-03-19T00:00:00"/>
        <d v="2025-02-01T00:00:00"/>
        <d v="2025-01-27T00:00:00"/>
      </sharedItems>
    </cacheField>
    <cacheField name="Vendedor" numFmtId="0">
      <sharedItems count="5">
        <s v="Arnaldo"/>
        <s v="Simone"/>
        <s v="Mariana"/>
        <s v="Luiza"/>
        <s v="Suelem"/>
      </sharedItems>
    </cacheField>
    <cacheField name="Loja" numFmtId="0">
      <sharedItems/>
    </cacheField>
    <cacheField name="Custo" numFmtId="44">
      <sharedItems containsSemiMixedTypes="0" containsString="0" containsNumber="1" containsInteger="1" minValue="8097" maxValue="20067"/>
    </cacheField>
    <cacheField name="Preço" numFmtId="44">
      <sharedItems containsSemiMixedTypes="0" containsString="0" containsNumber="1" containsInteger="1" minValue="16678" maxValue="39349"/>
    </cacheField>
    <cacheField name="Comissão" numFmtId="44">
      <sharedItems containsSemiMixedTypes="0" containsString="0" containsNumber="1" minValue="833.90000000000009" maxValue="1967.45"/>
    </cacheField>
  </cacheFields>
  <extLst>
    <ext xmlns:x14="http://schemas.microsoft.com/office/spreadsheetml/2009/9/main" uri="{725AE2AE-9491-48be-B2B4-4EB974FC3084}">
      <x14:pivotCacheDefinition pivotCacheId="1658322396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3">
  <r>
    <x v="0"/>
    <x v="0"/>
    <x v="0"/>
    <s v="Holambra"/>
    <n v="17745"/>
    <n v="33482"/>
    <n v="1674.1000000000001"/>
  </r>
  <r>
    <x v="1"/>
    <x v="1"/>
    <x v="1"/>
    <s v="Artut Nogueira"/>
    <n v="11749"/>
    <n v="21759"/>
    <n v="1087.95"/>
  </r>
  <r>
    <x v="2"/>
    <x v="2"/>
    <x v="2"/>
    <s v="Artut Nogueira"/>
    <n v="17321"/>
    <n v="28869"/>
    <n v="1443.45"/>
  </r>
  <r>
    <x v="1"/>
    <x v="3"/>
    <x v="0"/>
    <s v="Amparo"/>
    <n v="14700"/>
    <n v="27223"/>
    <n v="1361.15"/>
  </r>
  <r>
    <x v="0"/>
    <x v="4"/>
    <x v="3"/>
    <s v="Artut Nogueira"/>
    <n v="20067"/>
    <n v="39349"/>
    <n v="1967.45"/>
  </r>
  <r>
    <x v="0"/>
    <x v="5"/>
    <x v="0"/>
    <s v="Jaguariúna"/>
    <n v="19812"/>
    <n v="34160"/>
    <n v="1708"/>
  </r>
  <r>
    <x v="3"/>
    <x v="6"/>
    <x v="4"/>
    <s v="Artut Nogueira"/>
    <n v="12531"/>
    <n v="27243"/>
    <n v="1362.15"/>
  </r>
  <r>
    <x v="4"/>
    <x v="7"/>
    <x v="2"/>
    <s v="Jaguariúna"/>
    <n v="11458"/>
    <n v="24909"/>
    <n v="1245.45"/>
  </r>
  <r>
    <x v="3"/>
    <x v="8"/>
    <x v="2"/>
    <s v="Amparo"/>
    <n v="15680"/>
    <n v="26577"/>
    <n v="1328.8500000000001"/>
  </r>
  <r>
    <x v="3"/>
    <x v="9"/>
    <x v="2"/>
    <s v="Holambra"/>
    <n v="12012"/>
    <n v="25558"/>
    <n v="1277.9000000000001"/>
  </r>
  <r>
    <x v="5"/>
    <x v="10"/>
    <x v="0"/>
    <s v="Holambra"/>
    <n v="9955"/>
    <n v="17165"/>
    <n v="858.25"/>
  </r>
  <r>
    <x v="6"/>
    <x v="11"/>
    <x v="1"/>
    <s v="Holambra"/>
    <n v="16707"/>
    <n v="28317"/>
    <n v="1415.8500000000001"/>
  </r>
  <r>
    <x v="4"/>
    <x v="12"/>
    <x v="4"/>
    <s v="Pedreira"/>
    <n v="11178"/>
    <n v="21092"/>
    <n v="1054.6000000000001"/>
  </r>
  <r>
    <x v="6"/>
    <x v="13"/>
    <x v="4"/>
    <s v="Artut Nogueira"/>
    <n v="11317"/>
    <n v="23096"/>
    <n v="1154.8"/>
  </r>
  <r>
    <x v="3"/>
    <x v="14"/>
    <x v="0"/>
    <s v="Jaguariúna"/>
    <n v="15114"/>
    <n v="27990"/>
    <n v="1399.5"/>
  </r>
  <r>
    <x v="7"/>
    <x v="3"/>
    <x v="3"/>
    <s v="Amparo"/>
    <n v="8505"/>
    <n v="16678"/>
    <n v="833.90000000000009"/>
  </r>
  <r>
    <x v="3"/>
    <x v="15"/>
    <x v="3"/>
    <s v="Pedreira"/>
    <n v="10084"/>
    <n v="21457"/>
    <n v="1072.8500000000001"/>
  </r>
  <r>
    <x v="4"/>
    <x v="9"/>
    <x v="3"/>
    <s v="Holambra"/>
    <n v="13488"/>
    <n v="28102"/>
    <n v="1405.1000000000001"/>
  </r>
  <r>
    <x v="6"/>
    <x v="16"/>
    <x v="2"/>
    <s v="Artut Nogueira"/>
    <n v="13897"/>
    <n v="24381"/>
    <n v="1219.05"/>
  </r>
  <r>
    <x v="4"/>
    <x v="3"/>
    <x v="3"/>
    <s v="Holambra"/>
    <n v="13400"/>
    <n v="27918"/>
    <n v="1395.9"/>
  </r>
  <r>
    <x v="6"/>
    <x v="17"/>
    <x v="4"/>
    <s v="Holambra"/>
    <n v="10943"/>
    <n v="21886"/>
    <n v="1094.3"/>
  </r>
  <r>
    <x v="2"/>
    <x v="18"/>
    <x v="4"/>
    <s v="Amparo"/>
    <n v="8468"/>
    <n v="20654"/>
    <n v="1032.7"/>
  </r>
  <r>
    <x v="1"/>
    <x v="2"/>
    <x v="1"/>
    <s v="Amparo"/>
    <n v="12147"/>
    <n v="20944"/>
    <n v="1047.2"/>
  </r>
  <r>
    <x v="6"/>
    <x v="19"/>
    <x v="2"/>
    <s v="Amparo"/>
    <n v="12041"/>
    <n v="27367"/>
    <n v="1368.3500000000001"/>
  </r>
  <r>
    <x v="1"/>
    <x v="20"/>
    <x v="3"/>
    <s v="Pedreira"/>
    <n v="8097"/>
    <n v="20243"/>
    <n v="1012.1500000000001"/>
  </r>
  <r>
    <x v="1"/>
    <x v="15"/>
    <x v="4"/>
    <s v="Holambra"/>
    <n v="12251"/>
    <n v="27225"/>
    <n v="1361.25"/>
  </r>
  <r>
    <x v="2"/>
    <x v="21"/>
    <x v="0"/>
    <s v="Jaguariúna"/>
    <n v="11239"/>
    <n v="21614"/>
    <n v="1080.7"/>
  </r>
  <r>
    <x v="7"/>
    <x v="15"/>
    <x v="4"/>
    <s v="Jaguariúna"/>
    <n v="10010"/>
    <n v="18200"/>
    <n v="910"/>
  </r>
  <r>
    <x v="3"/>
    <x v="22"/>
    <x v="1"/>
    <s v="Holambra"/>
    <n v="12103"/>
    <n v="21613"/>
    <n v="1080.6500000000001"/>
  </r>
  <r>
    <x v="6"/>
    <x v="23"/>
    <x v="2"/>
    <s v="Artut Nogueira"/>
    <n v="12847"/>
    <n v="24241"/>
    <n v="1212.05"/>
  </r>
  <r>
    <x v="7"/>
    <x v="24"/>
    <x v="3"/>
    <s v="Pedreira"/>
    <n v="9339"/>
    <n v="19871"/>
    <n v="993.55000000000007"/>
  </r>
  <r>
    <x v="3"/>
    <x v="25"/>
    <x v="2"/>
    <s v="Jaguariúna"/>
    <n v="11380"/>
    <n v="26466"/>
    <n v="1323.3000000000002"/>
  </r>
  <r>
    <x v="3"/>
    <x v="24"/>
    <x v="0"/>
    <s v="Artut Nogueira"/>
    <n v="16093"/>
    <n v="28235"/>
    <n v="1411.7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FC0B7A3-4FAF-47F7-B329-E0F4C958EC43}" name="Tabela dinâmica1" cacheId="12" applyNumberFormats="0" applyBorderFormats="0" applyFontFormats="0" applyPatternFormats="0" applyAlignmentFormats="0" applyWidthHeightFormats="1" dataCaption="Valores" updatedVersion="8" minRefreshableVersion="5" useAutoFormatting="1" itemPrintTitles="1" createdVersion="8" indent="0" outline="1" outlineData="1" multipleFieldFilters="0" chartFormat="3">
  <location ref="A1:B10" firstHeaderRow="1" firstDataRow="1" firstDataCol="1"/>
  <pivotFields count="7">
    <pivotField axis="axisRow" showAll="0">
      <items count="9">
        <item x="6"/>
        <item x="5"/>
        <item x="1"/>
        <item x="2"/>
        <item x="3"/>
        <item x="7"/>
        <item x="0"/>
        <item x="4"/>
        <item t="default"/>
      </items>
    </pivotField>
    <pivotField numFmtId="14" showAll="0">
      <items count="27">
        <item x="20"/>
        <item x="3"/>
        <item x="14"/>
        <item x="6"/>
        <item x="7"/>
        <item x="5"/>
        <item x="10"/>
        <item x="0"/>
        <item x="25"/>
        <item x="18"/>
        <item x="24"/>
        <item x="15"/>
        <item x="21"/>
        <item x="9"/>
        <item x="22"/>
        <item x="2"/>
        <item x="16"/>
        <item x="11"/>
        <item x="13"/>
        <item x="1"/>
        <item x="12"/>
        <item x="19"/>
        <item x="17"/>
        <item x="23"/>
        <item x="4"/>
        <item x="8"/>
        <item t="default"/>
      </items>
    </pivotField>
    <pivotField showAll="0">
      <items count="6">
        <item x="0"/>
        <item x="3"/>
        <item x="2"/>
        <item x="1"/>
        <item x="4"/>
        <item t="default"/>
      </items>
    </pivotField>
    <pivotField showAll="0"/>
    <pivotField numFmtId="44" showAll="0"/>
    <pivotField dataField="1" numFmtId="44" showAll="0"/>
    <pivotField numFmtId="44" showAll="0"/>
  </pivotFields>
  <rowFields count="1">
    <field x="0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Soma de Preço" fld="5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F7AEB95-B5AE-49C6-B6E4-1BA7348CCCD3}" name="Tabela dinâmica3" cacheId="12" applyNumberFormats="0" applyBorderFormats="0" applyFontFormats="0" applyPatternFormats="0" applyAlignmentFormats="0" applyWidthHeightFormats="1" dataCaption="Valores" updatedVersion="8" minRefreshableVersion="5" useAutoFormatting="1" itemPrintTitles="1" createdVersion="8" indent="0" outline="1" outlineData="1" multipleFieldFilters="0" chartFormat="4">
  <location ref="A1:B10" firstHeaderRow="1" firstDataRow="1" firstDataCol="1"/>
  <pivotFields count="7">
    <pivotField axis="axisRow" showAll="0">
      <items count="9">
        <item x="6"/>
        <item x="5"/>
        <item x="1"/>
        <item x="2"/>
        <item x="3"/>
        <item x="7"/>
        <item x="0"/>
        <item x="4"/>
        <item t="default"/>
      </items>
    </pivotField>
    <pivotField numFmtId="14" showAll="0">
      <items count="27">
        <item x="20"/>
        <item x="3"/>
        <item x="14"/>
        <item x="6"/>
        <item x="7"/>
        <item x="5"/>
        <item x="10"/>
        <item x="0"/>
        <item x="25"/>
        <item x="18"/>
        <item x="24"/>
        <item x="15"/>
        <item x="21"/>
        <item x="9"/>
        <item x="22"/>
        <item x="2"/>
        <item x="16"/>
        <item x="11"/>
        <item x="13"/>
        <item x="1"/>
        <item x="12"/>
        <item x="19"/>
        <item x="17"/>
        <item x="23"/>
        <item x="4"/>
        <item x="8"/>
        <item t="default"/>
      </items>
    </pivotField>
    <pivotField showAll="0">
      <items count="6">
        <item x="0"/>
        <item x="3"/>
        <item x="2"/>
        <item x="1"/>
        <item x="4"/>
        <item t="default"/>
      </items>
    </pivotField>
    <pivotField showAll="0"/>
    <pivotField numFmtId="44" showAll="0"/>
    <pivotField dataField="1" numFmtId="44" showAll="0"/>
    <pivotField numFmtId="44" showAll="0"/>
  </pivotFields>
  <rowFields count="1">
    <field x="0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Contagem de Preço" fld="5" subtotal="count" baseField="0" baseItem="0"/>
  </dataFields>
  <chartFormats count="10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3" format="12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3" format="13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3" format="14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3" format="15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3" format="16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3" format="17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3" format="18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0B9A38D-761B-4AF7-98DC-CDF5CE3DAE41}" name="Tabela dinâmica4" cacheId="1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3">
  <location ref="A1:B7" firstHeaderRow="1" firstDataRow="1" firstDataCol="1"/>
  <pivotFields count="7">
    <pivotField showAll="0"/>
    <pivotField numFmtId="14" showAll="0"/>
    <pivotField axis="axisRow" showAll="0">
      <items count="6">
        <item x="0"/>
        <item x="3"/>
        <item x="2"/>
        <item x="1"/>
        <item x="4"/>
        <item t="default"/>
      </items>
    </pivotField>
    <pivotField showAll="0"/>
    <pivotField numFmtId="44" showAll="0"/>
    <pivotField numFmtId="44" showAll="0"/>
    <pivotField dataField="1" numFmtId="44"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ntagem de Comissão" fld="6" subtotal="count" baseField="2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E49CA32-B3EA-4F06-A573-B5FFDCF831BE}" name="Tabela dinâmica5" cacheId="12" applyNumberFormats="0" applyBorderFormats="0" applyFontFormats="0" applyPatternFormats="0" applyAlignmentFormats="0" applyWidthHeightFormats="1" dataCaption="Valores" updatedVersion="8" minRefreshableVersion="5" useAutoFormatting="1" itemPrintTitles="1" createdVersion="8" indent="0" outline="1" outlineData="1" multipleFieldFilters="0" chartFormat="3">
  <location ref="A1:B7" firstHeaderRow="1" firstDataRow="1" firstDataCol="1"/>
  <pivotFields count="7">
    <pivotField showAll="0">
      <items count="9">
        <item x="6"/>
        <item x="5"/>
        <item x="1"/>
        <item x="2"/>
        <item x="3"/>
        <item x="7"/>
        <item x="0"/>
        <item x="4"/>
        <item t="default"/>
      </items>
    </pivotField>
    <pivotField numFmtId="14" showAll="0">
      <items count="27">
        <item x="20"/>
        <item x="3"/>
        <item x="14"/>
        <item x="6"/>
        <item x="7"/>
        <item x="5"/>
        <item x="10"/>
        <item x="0"/>
        <item x="25"/>
        <item x="18"/>
        <item x="24"/>
        <item x="15"/>
        <item x="21"/>
        <item x="9"/>
        <item x="22"/>
        <item x="2"/>
        <item x="16"/>
        <item x="11"/>
        <item x="13"/>
        <item x="1"/>
        <item x="12"/>
        <item x="19"/>
        <item x="17"/>
        <item x="23"/>
        <item x="4"/>
        <item x="8"/>
        <item t="default"/>
      </items>
    </pivotField>
    <pivotField axis="axisRow" showAll="0">
      <items count="6">
        <item x="0"/>
        <item x="3"/>
        <item x="2"/>
        <item x="1"/>
        <item x="4"/>
        <item t="default"/>
      </items>
    </pivotField>
    <pivotField showAll="0"/>
    <pivotField numFmtId="44" showAll="0"/>
    <pivotField dataField="1" numFmtId="44" showAll="0"/>
    <pivotField numFmtId="44"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oma de Preço" fld="5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Veículo" xr10:uid="{958C0412-C5F0-4275-B3E1-EC81906F8A6F}" sourceName="Veículo">
  <pivotTables>
    <pivotTable tabId="4" name="Tabela dinâmica3"/>
    <pivotTable tabId="2" name="Tabela dinâmica1"/>
    <pivotTable tabId="6" name="Tabela dinâmica5"/>
  </pivotTables>
  <data>
    <tabular pivotCacheId="1658322396">
      <items count="8">
        <i x="6" s="1"/>
        <i x="5" s="1"/>
        <i x="1" s="1"/>
        <i x="2" s="1"/>
        <i x="3" s="1"/>
        <i x="7" s="1"/>
        <i x="0" s="1"/>
        <i x="4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Vendedor" xr10:uid="{95C8E902-599A-4A9E-BEE0-61A31B7ED2CA}" sourceName="Vendedor">
  <pivotTables>
    <pivotTable tabId="4" name="Tabela dinâmica3"/>
    <pivotTable tabId="2" name="Tabela dinâmica1"/>
    <pivotTable tabId="6" name="Tabela dinâmica5"/>
  </pivotTables>
  <data>
    <tabular pivotCacheId="1658322396">
      <items count="5">
        <i x="0" s="1"/>
        <i x="3" s="1"/>
        <i x="2" s="1"/>
        <i x="1" s="1"/>
        <i x="4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Veículo" xr10:uid="{C6F316F6-C6A2-4F85-8B2D-C18B5A6F45E1}" cache="SegmentaçãodeDados_Veículo" caption="Veículo" rowHeight="257175"/>
  <slicer name="Vendedor" xr10:uid="{0441F9D2-D98A-443F-923E-88A9030AC6C8}" cache="SegmentaçãodeDados_Vendedor" caption="Vendedor" rowHeight="257175"/>
</slicer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imelineCaches/timelineCache1.xml><?xml version="1.0" encoding="utf-8"?>
<timelineCacheDefinition xmlns="http://schemas.microsoft.com/office/spreadsheetml/2010/11/main" xmlns:x15="http://schemas.microsoft.com/office/spreadsheetml/2010/11/main" xmlns:mc="http://schemas.openxmlformats.org/markup-compatibility/2006" xmlns:xr10="http://schemas.microsoft.com/office/spreadsheetml/2016/revision10" mc:Ignorable="xr10" name="NativeTimeline_Data" xr10:uid="{E94F223D-F6E7-492B-9D93-D28134E63D24}" sourceName="Data">
  <pivotTables>
    <pivotTable tabId="4" name="Tabela dinâmica3"/>
    <pivotTable tabId="2" name="Tabela dinâmica1"/>
    <pivotTable tabId="6" name="Tabela dinâmica5"/>
  </pivotTables>
  <state minimalRefreshVersion="6" lastRefreshVersion="6" pivotCacheId="1658322396" filterType="unknown">
    <bounds startDate="2025-01-01T00:00:00" endDate="2026-01-01T00:00:00"/>
  </state>
</timelineCacheDefinition>
</file>

<file path=xl/timelines/timeline1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Data" xr10:uid="{C97E1B0E-B064-484F-ABC4-B3651E3D720A}" cache="NativeTimeline_Data" caption="Data" level="2" selectionLevel="2" scrollPosition="2025-01-01T00:00:00"/>
</timelines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3" Type="http://schemas.microsoft.com/office/2011/relationships/timeline" Target="../timelines/timeline1.xml"/><Relationship Id="rId2" Type="http://schemas.microsoft.com/office/2007/relationships/slicer" Target="../slicers/slicer1.xml"/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0BEB1-5A75-4ED5-9A8C-70ADE863ABAE}">
  <dimension ref="A1:B10"/>
  <sheetViews>
    <sheetView workbookViewId="0">
      <selection activeCell="D42" sqref="D42"/>
    </sheetView>
  </sheetViews>
  <sheetFormatPr defaultRowHeight="15" x14ac:dyDescent="0.25"/>
  <cols>
    <col min="1" max="1" width="18.42578125" bestFit="1" customWidth="1"/>
    <col min="2" max="2" width="14.42578125" bestFit="1" customWidth="1"/>
  </cols>
  <sheetData>
    <row r="1" spans="1:2" x14ac:dyDescent="0.25">
      <c r="A1" s="18" t="s">
        <v>37</v>
      </c>
      <c r="B1" t="s">
        <v>39</v>
      </c>
    </row>
    <row r="2" spans="1:2" x14ac:dyDescent="0.25">
      <c r="A2" s="19" t="s">
        <v>24</v>
      </c>
      <c r="B2" s="20">
        <v>149288</v>
      </c>
    </row>
    <row r="3" spans="1:2" x14ac:dyDescent="0.25">
      <c r="A3" s="19" t="s">
        <v>23</v>
      </c>
      <c r="B3" s="20">
        <v>17165</v>
      </c>
    </row>
    <row r="4" spans="1:2" x14ac:dyDescent="0.25">
      <c r="A4" s="19" t="s">
        <v>12</v>
      </c>
      <c r="B4" s="20">
        <v>117394</v>
      </c>
    </row>
    <row r="5" spans="1:2" x14ac:dyDescent="0.25">
      <c r="A5" s="19" t="s">
        <v>15</v>
      </c>
      <c r="B5" s="20">
        <v>71137</v>
      </c>
    </row>
    <row r="6" spans="1:2" x14ac:dyDescent="0.25">
      <c r="A6" s="19" t="s">
        <v>20</v>
      </c>
      <c r="B6" s="20">
        <v>205139</v>
      </c>
    </row>
    <row r="7" spans="1:2" x14ac:dyDescent="0.25">
      <c r="A7" s="19" t="s">
        <v>26</v>
      </c>
      <c r="B7" s="20">
        <v>54749</v>
      </c>
    </row>
    <row r="8" spans="1:2" x14ac:dyDescent="0.25">
      <c r="A8" s="19" t="s">
        <v>9</v>
      </c>
      <c r="B8" s="20">
        <v>106991</v>
      </c>
    </row>
    <row r="9" spans="1:2" x14ac:dyDescent="0.25">
      <c r="A9" s="19" t="s">
        <v>22</v>
      </c>
      <c r="B9" s="20">
        <v>102021</v>
      </c>
    </row>
    <row r="10" spans="1:2" x14ac:dyDescent="0.25">
      <c r="A10" s="19" t="s">
        <v>38</v>
      </c>
      <c r="B10" s="20">
        <v>823884</v>
      </c>
    </row>
  </sheetData>
  <pageMargins left="0.511811024" right="0.511811024" top="0.78740157499999996" bottom="0.78740157499999996" header="0.31496062000000002" footer="0.31496062000000002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2F1293-1983-44A2-B9F2-867E3B24EDD1}">
  <dimension ref="A1:B10"/>
  <sheetViews>
    <sheetView workbookViewId="0">
      <selection activeCell="M6" sqref="M6"/>
    </sheetView>
  </sheetViews>
  <sheetFormatPr defaultRowHeight="15" x14ac:dyDescent="0.25"/>
  <cols>
    <col min="1" max="1" width="18.42578125" bestFit="1" customWidth="1"/>
    <col min="2" max="2" width="18.85546875" bestFit="1" customWidth="1"/>
  </cols>
  <sheetData>
    <row r="1" spans="1:2" x14ac:dyDescent="0.25">
      <c r="A1" s="18" t="s">
        <v>37</v>
      </c>
      <c r="B1" t="s">
        <v>40</v>
      </c>
    </row>
    <row r="2" spans="1:2" x14ac:dyDescent="0.25">
      <c r="A2" s="19" t="s">
        <v>24</v>
      </c>
      <c r="B2" s="20">
        <v>6</v>
      </c>
    </row>
    <row r="3" spans="1:2" x14ac:dyDescent="0.25">
      <c r="A3" s="19" t="s">
        <v>23</v>
      </c>
      <c r="B3" s="20">
        <v>1</v>
      </c>
    </row>
    <row r="4" spans="1:2" x14ac:dyDescent="0.25">
      <c r="A4" s="19" t="s">
        <v>12</v>
      </c>
      <c r="B4" s="20">
        <v>5</v>
      </c>
    </row>
    <row r="5" spans="1:2" x14ac:dyDescent="0.25">
      <c r="A5" s="19" t="s">
        <v>15</v>
      </c>
      <c r="B5" s="20">
        <v>3</v>
      </c>
    </row>
    <row r="6" spans="1:2" x14ac:dyDescent="0.25">
      <c r="A6" s="19" t="s">
        <v>20</v>
      </c>
      <c r="B6" s="20">
        <v>8</v>
      </c>
    </row>
    <row r="7" spans="1:2" x14ac:dyDescent="0.25">
      <c r="A7" s="19" t="s">
        <v>26</v>
      </c>
      <c r="B7" s="20">
        <v>3</v>
      </c>
    </row>
    <row r="8" spans="1:2" x14ac:dyDescent="0.25">
      <c r="A8" s="19" t="s">
        <v>9</v>
      </c>
      <c r="B8" s="20">
        <v>3</v>
      </c>
    </row>
    <row r="9" spans="1:2" x14ac:dyDescent="0.25">
      <c r="A9" s="19" t="s">
        <v>22</v>
      </c>
      <c r="B9" s="20">
        <v>4</v>
      </c>
    </row>
    <row r="10" spans="1:2" x14ac:dyDescent="0.25">
      <c r="A10" s="19" t="s">
        <v>38</v>
      </c>
      <c r="B10" s="20">
        <v>33</v>
      </c>
    </row>
  </sheetData>
  <pageMargins left="0.511811024" right="0.511811024" top="0.78740157499999996" bottom="0.78740157499999996" header="0.31496062000000002" footer="0.31496062000000002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0B5BE4-1C54-41C8-AF3C-27EBB4B757DC}">
  <dimension ref="A1:B7"/>
  <sheetViews>
    <sheetView workbookViewId="0">
      <selection activeCell="L7" sqref="L7"/>
    </sheetView>
  </sheetViews>
  <sheetFormatPr defaultRowHeight="15" x14ac:dyDescent="0.25"/>
  <cols>
    <col min="1" max="1" width="18.42578125" bestFit="1" customWidth="1"/>
    <col min="2" max="2" width="22.85546875" bestFit="1" customWidth="1"/>
  </cols>
  <sheetData>
    <row r="1" spans="1:2" x14ac:dyDescent="0.25">
      <c r="A1" s="18" t="s">
        <v>37</v>
      </c>
      <c r="B1" t="s">
        <v>41</v>
      </c>
    </row>
    <row r="2" spans="1:2" x14ac:dyDescent="0.25">
      <c r="A2" s="19" t="s">
        <v>10</v>
      </c>
      <c r="B2" s="20">
        <v>7</v>
      </c>
    </row>
    <row r="3" spans="1:2" x14ac:dyDescent="0.25">
      <c r="A3" s="19" t="s">
        <v>18</v>
      </c>
      <c r="B3" s="20">
        <v>7</v>
      </c>
    </row>
    <row r="4" spans="1:2" x14ac:dyDescent="0.25">
      <c r="A4" s="19" t="s">
        <v>16</v>
      </c>
      <c r="B4" s="20">
        <v>8</v>
      </c>
    </row>
    <row r="5" spans="1:2" x14ac:dyDescent="0.25">
      <c r="A5" s="19" t="s">
        <v>13</v>
      </c>
      <c r="B5" s="20">
        <v>4</v>
      </c>
    </row>
    <row r="6" spans="1:2" x14ac:dyDescent="0.25">
      <c r="A6" s="19" t="s">
        <v>21</v>
      </c>
      <c r="B6" s="20">
        <v>7</v>
      </c>
    </row>
    <row r="7" spans="1:2" x14ac:dyDescent="0.25">
      <c r="A7" s="19" t="s">
        <v>38</v>
      </c>
      <c r="B7" s="20">
        <v>33</v>
      </c>
    </row>
  </sheetData>
  <pageMargins left="0.511811024" right="0.511811024" top="0.78740157499999996" bottom="0.78740157499999996" header="0.31496062000000002" footer="0.31496062000000002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3F4108-0B78-4859-9DBF-E07F726B2B74}">
  <dimension ref="A1:B7"/>
  <sheetViews>
    <sheetView workbookViewId="0">
      <selection activeCell="K39" sqref="K39"/>
    </sheetView>
  </sheetViews>
  <sheetFormatPr defaultRowHeight="15" x14ac:dyDescent="0.25"/>
  <cols>
    <col min="1" max="1" width="18.42578125" bestFit="1" customWidth="1"/>
    <col min="2" max="2" width="14.42578125" bestFit="1" customWidth="1"/>
  </cols>
  <sheetData>
    <row r="1" spans="1:2" x14ac:dyDescent="0.25">
      <c r="A1" s="18" t="s">
        <v>37</v>
      </c>
      <c r="B1" t="s">
        <v>39</v>
      </c>
    </row>
    <row r="2" spans="1:2" x14ac:dyDescent="0.25">
      <c r="A2" s="19" t="s">
        <v>10</v>
      </c>
      <c r="B2" s="20">
        <v>189869</v>
      </c>
    </row>
    <row r="3" spans="1:2" x14ac:dyDescent="0.25">
      <c r="A3" s="19" t="s">
        <v>18</v>
      </c>
      <c r="B3" s="20">
        <v>173618</v>
      </c>
    </row>
    <row r="4" spans="1:2" x14ac:dyDescent="0.25">
      <c r="A4" s="19" t="s">
        <v>16</v>
      </c>
      <c r="B4" s="20">
        <v>208368</v>
      </c>
    </row>
    <row r="5" spans="1:2" x14ac:dyDescent="0.25">
      <c r="A5" s="19" t="s">
        <v>13</v>
      </c>
      <c r="B5" s="20">
        <v>92633</v>
      </c>
    </row>
    <row r="6" spans="1:2" x14ac:dyDescent="0.25">
      <c r="A6" s="19" t="s">
        <v>21</v>
      </c>
      <c r="B6" s="20">
        <v>159396</v>
      </c>
    </row>
    <row r="7" spans="1:2" x14ac:dyDescent="0.25">
      <c r="A7" s="19" t="s">
        <v>38</v>
      </c>
      <c r="B7" s="20">
        <v>823884</v>
      </c>
    </row>
  </sheetData>
  <pageMargins left="0.511811024" right="0.511811024" top="0.78740157499999996" bottom="0.78740157499999996" header="0.31496062000000002" footer="0.31496062000000002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266522-7351-49BF-81D4-ACB16E4602BE}">
  <dimension ref="A1:N39"/>
  <sheetViews>
    <sheetView zoomScale="115" zoomScaleNormal="115" workbookViewId="0">
      <selection activeCell="F7" sqref="F7"/>
    </sheetView>
  </sheetViews>
  <sheetFormatPr defaultRowHeight="15" x14ac:dyDescent="0.25"/>
  <cols>
    <col min="1" max="1" width="7.5703125" bestFit="1" customWidth="1"/>
    <col min="2" max="2" width="11.28515625" bestFit="1" customWidth="1"/>
    <col min="3" max="3" width="9.42578125" bestFit="1" customWidth="1"/>
    <col min="4" max="6" width="13.85546875" bestFit="1" customWidth="1"/>
    <col min="7" max="7" width="12.7109375" bestFit="1" customWidth="1"/>
    <col min="8" max="8" width="7.5703125" hidden="1" customWidth="1"/>
    <col min="9" max="9" width="9.42578125" hidden="1" customWidth="1"/>
    <col min="10" max="10" width="14.42578125" bestFit="1" customWidth="1"/>
    <col min="11" max="11" width="8" bestFit="1" customWidth="1"/>
    <col min="12" max="12" width="15.42578125" bestFit="1" customWidth="1"/>
    <col min="13" max="13" width="10.7109375" bestFit="1" customWidth="1"/>
    <col min="14" max="14" width="14.42578125" bestFit="1" customWidth="1"/>
  </cols>
  <sheetData>
    <row r="1" spans="1:14" x14ac:dyDescent="0.25">
      <c r="A1" s="1" t="s">
        <v>0</v>
      </c>
      <c r="B1" s="1"/>
      <c r="C1" s="1"/>
      <c r="D1" s="1"/>
      <c r="E1" s="1"/>
      <c r="F1" s="1"/>
      <c r="G1" s="1"/>
      <c r="H1" s="16"/>
      <c r="I1" s="16"/>
      <c r="K1" s="12" t="s">
        <v>34</v>
      </c>
      <c r="L1" s="12"/>
      <c r="M1" s="12"/>
      <c r="N1" s="15"/>
    </row>
    <row r="2" spans="1:14" x14ac:dyDescent="0.25">
      <c r="A2" s="2" t="s">
        <v>1</v>
      </c>
      <c r="B2" s="3"/>
      <c r="C2" s="3"/>
      <c r="D2" s="3"/>
      <c r="E2" s="4"/>
      <c r="F2" s="5" t="s">
        <v>2</v>
      </c>
      <c r="G2" s="6">
        <v>0.05</v>
      </c>
      <c r="H2" s="17"/>
      <c r="I2" s="17"/>
      <c r="L2" s="13" t="s">
        <v>35</v>
      </c>
      <c r="M2" s="13" t="s">
        <v>36</v>
      </c>
    </row>
    <row r="3" spans="1:14" x14ac:dyDescent="0.25">
      <c r="A3" s="7" t="s">
        <v>3</v>
      </c>
      <c r="B3" s="7" t="s">
        <v>4</v>
      </c>
      <c r="C3" s="7" t="s">
        <v>5</v>
      </c>
      <c r="D3" s="7" t="s">
        <v>6</v>
      </c>
      <c r="E3" s="7" t="s">
        <v>7</v>
      </c>
      <c r="F3" s="7" t="s">
        <v>8</v>
      </c>
      <c r="G3" s="7" t="s">
        <v>2</v>
      </c>
      <c r="H3" s="7" t="s">
        <v>3</v>
      </c>
      <c r="I3" s="7" t="s">
        <v>5</v>
      </c>
      <c r="L3" s="13" t="s">
        <v>7</v>
      </c>
    </row>
    <row r="4" spans="1:14" x14ac:dyDescent="0.25">
      <c r="A4" s="7" t="s">
        <v>9</v>
      </c>
      <c r="B4" s="8">
        <v>45679</v>
      </c>
      <c r="C4" s="7" t="s">
        <v>10</v>
      </c>
      <c r="D4" s="7" t="s">
        <v>11</v>
      </c>
      <c r="E4" s="9">
        <v>17745</v>
      </c>
      <c r="F4" s="10">
        <v>33482</v>
      </c>
      <c r="G4" s="10">
        <f>F4*$G$2</f>
        <v>1674.1000000000001</v>
      </c>
      <c r="H4" s="7" t="s">
        <v>9</v>
      </c>
      <c r="I4" s="7" t="s">
        <v>10</v>
      </c>
      <c r="K4" t="s">
        <v>27</v>
      </c>
      <c r="L4" s="11">
        <f>SUM(E4:E36)</f>
        <v>423678</v>
      </c>
    </row>
    <row r="5" spans="1:14" x14ac:dyDescent="0.25">
      <c r="A5" s="7" t="s">
        <v>12</v>
      </c>
      <c r="B5" s="8">
        <v>45730</v>
      </c>
      <c r="C5" s="7" t="s">
        <v>13</v>
      </c>
      <c r="D5" s="7" t="s">
        <v>14</v>
      </c>
      <c r="E5" s="9">
        <v>11749</v>
      </c>
      <c r="F5" s="10">
        <v>21759</v>
      </c>
      <c r="G5" s="10">
        <f t="shared" ref="G5:G36" si="0">F5*$G$2</f>
        <v>1087.95</v>
      </c>
      <c r="H5" s="7" t="s">
        <v>12</v>
      </c>
      <c r="I5" s="7" t="s">
        <v>13</v>
      </c>
      <c r="K5" t="s">
        <v>28</v>
      </c>
      <c r="L5" s="11">
        <f>AVERAGE(E4:E36)</f>
        <v>12838.727272727272</v>
      </c>
    </row>
    <row r="6" spans="1:14" x14ac:dyDescent="0.25">
      <c r="A6" s="7" t="s">
        <v>15</v>
      </c>
      <c r="B6" s="8">
        <v>45714</v>
      </c>
      <c r="C6" s="7" t="s">
        <v>16</v>
      </c>
      <c r="D6" s="7" t="s">
        <v>14</v>
      </c>
      <c r="E6" s="9">
        <v>17321</v>
      </c>
      <c r="F6" s="10">
        <v>28869</v>
      </c>
      <c r="G6" s="10">
        <f t="shared" si="0"/>
        <v>1443.45</v>
      </c>
      <c r="H6" s="7" t="s">
        <v>15</v>
      </c>
      <c r="I6" s="7" t="s">
        <v>16</v>
      </c>
      <c r="K6" t="s">
        <v>29</v>
      </c>
      <c r="L6" s="11">
        <f>MAX(E4:E36)</f>
        <v>20067</v>
      </c>
      <c r="M6" t="str">
        <f>VLOOKUP(L6,$E$4:$H$36,4,0)</f>
        <v>Prisma</v>
      </c>
    </row>
    <row r="7" spans="1:14" x14ac:dyDescent="0.25">
      <c r="A7" s="7" t="s">
        <v>12</v>
      </c>
      <c r="B7" s="8">
        <v>45661</v>
      </c>
      <c r="C7" s="7" t="s">
        <v>10</v>
      </c>
      <c r="D7" s="7" t="s">
        <v>17</v>
      </c>
      <c r="E7" s="9">
        <v>14700</v>
      </c>
      <c r="F7" s="10">
        <v>27223</v>
      </c>
      <c r="G7" s="10">
        <f t="shared" si="0"/>
        <v>1361.15</v>
      </c>
      <c r="H7" s="7" t="s">
        <v>12</v>
      </c>
      <c r="I7" s="7" t="s">
        <v>10</v>
      </c>
      <c r="K7" t="s">
        <v>30</v>
      </c>
      <c r="L7" s="11">
        <f>MIN(E4:E36)</f>
        <v>8097</v>
      </c>
      <c r="M7" t="str">
        <f>VLOOKUP(L7,$E$4:$H$36,4,0)</f>
        <v>Fiesta</v>
      </c>
    </row>
    <row r="8" spans="1:14" x14ac:dyDescent="0.25">
      <c r="A8" s="7" t="s">
        <v>9</v>
      </c>
      <c r="B8" s="8">
        <v>45741</v>
      </c>
      <c r="C8" s="7" t="s">
        <v>18</v>
      </c>
      <c r="D8" s="7" t="s">
        <v>14</v>
      </c>
      <c r="E8" s="9">
        <v>20067</v>
      </c>
      <c r="F8" s="10">
        <v>39349</v>
      </c>
      <c r="G8" s="10">
        <f t="shared" si="0"/>
        <v>1967.45</v>
      </c>
      <c r="H8" s="7" t="s">
        <v>9</v>
      </c>
      <c r="I8" s="7" t="s">
        <v>18</v>
      </c>
      <c r="L8" s="13" t="s">
        <v>32</v>
      </c>
    </row>
    <row r="9" spans="1:14" x14ac:dyDescent="0.25">
      <c r="A9" s="7" t="s">
        <v>9</v>
      </c>
      <c r="B9" s="8">
        <v>45677</v>
      </c>
      <c r="C9" s="7" t="s">
        <v>10</v>
      </c>
      <c r="D9" s="7" t="s">
        <v>19</v>
      </c>
      <c r="E9" s="9">
        <v>19812</v>
      </c>
      <c r="F9" s="10">
        <v>34160</v>
      </c>
      <c r="G9" s="10">
        <f t="shared" si="0"/>
        <v>1708</v>
      </c>
      <c r="H9" s="7" t="s">
        <v>9</v>
      </c>
      <c r="I9" s="7" t="s">
        <v>10</v>
      </c>
      <c r="K9" t="s">
        <v>27</v>
      </c>
      <c r="L9" s="11">
        <f>SUM(F4:F36)</f>
        <v>823884</v>
      </c>
    </row>
    <row r="10" spans="1:14" x14ac:dyDescent="0.25">
      <c r="A10" s="7" t="s">
        <v>20</v>
      </c>
      <c r="B10" s="8">
        <v>45671</v>
      </c>
      <c r="C10" s="7" t="s">
        <v>21</v>
      </c>
      <c r="D10" s="7" t="s">
        <v>14</v>
      </c>
      <c r="E10" s="9">
        <v>12531</v>
      </c>
      <c r="F10" s="10">
        <v>27243</v>
      </c>
      <c r="G10" s="10">
        <f t="shared" si="0"/>
        <v>1362.15</v>
      </c>
      <c r="H10" s="7" t="s">
        <v>20</v>
      </c>
      <c r="I10" s="7" t="s">
        <v>21</v>
      </c>
      <c r="K10" t="s">
        <v>28</v>
      </c>
      <c r="L10" s="11">
        <f>AVERAGE(F4:F36)</f>
        <v>24966.18181818182</v>
      </c>
    </row>
    <row r="11" spans="1:14" x14ac:dyDescent="0.25">
      <c r="A11" s="7" t="s">
        <v>22</v>
      </c>
      <c r="B11" s="8">
        <v>45674</v>
      </c>
      <c r="C11" s="7" t="s">
        <v>16</v>
      </c>
      <c r="D11" s="7" t="s">
        <v>19</v>
      </c>
      <c r="E11" s="9">
        <v>11458</v>
      </c>
      <c r="F11" s="10">
        <v>24909</v>
      </c>
      <c r="G11" s="10">
        <f t="shared" si="0"/>
        <v>1245.45</v>
      </c>
      <c r="H11" s="7" t="s">
        <v>22</v>
      </c>
      <c r="I11" s="7" t="s">
        <v>16</v>
      </c>
      <c r="K11" t="s">
        <v>29</v>
      </c>
      <c r="L11" s="11">
        <f>MAX(F4:F36)</f>
        <v>39349</v>
      </c>
      <c r="M11" t="str">
        <f>VLOOKUP(L11,$F$4:$H$36,3,0)</f>
        <v>Prisma</v>
      </c>
    </row>
    <row r="12" spans="1:14" x14ac:dyDescent="0.25">
      <c r="A12" s="7" t="s">
        <v>20</v>
      </c>
      <c r="B12" s="8">
        <v>45743</v>
      </c>
      <c r="C12" s="7" t="s">
        <v>16</v>
      </c>
      <c r="D12" s="7" t="s">
        <v>17</v>
      </c>
      <c r="E12" s="9">
        <v>15680</v>
      </c>
      <c r="F12" s="10">
        <v>26577</v>
      </c>
      <c r="G12" s="10">
        <f t="shared" si="0"/>
        <v>1328.8500000000001</v>
      </c>
      <c r="H12" s="7" t="s">
        <v>20</v>
      </c>
      <c r="I12" s="7" t="s">
        <v>16</v>
      </c>
      <c r="K12" t="s">
        <v>30</v>
      </c>
      <c r="L12" s="11">
        <f>MIN(F4:F36)</f>
        <v>16678</v>
      </c>
      <c r="M12" t="str">
        <f>VLOOKUP(L12,$F$4:$H$36,3,0)</f>
        <v>Pálio</v>
      </c>
    </row>
    <row r="13" spans="1:14" x14ac:dyDescent="0.25">
      <c r="A13" s="7" t="s">
        <v>20</v>
      </c>
      <c r="B13" s="8">
        <v>45701</v>
      </c>
      <c r="C13" s="7" t="s">
        <v>16</v>
      </c>
      <c r="D13" s="7" t="s">
        <v>11</v>
      </c>
      <c r="E13" s="9">
        <v>12012</v>
      </c>
      <c r="F13" s="10">
        <v>25558</v>
      </c>
      <c r="G13" s="10">
        <f t="shared" si="0"/>
        <v>1277.9000000000001</v>
      </c>
      <c r="H13" s="7" t="s">
        <v>20</v>
      </c>
      <c r="I13" s="7" t="s">
        <v>16</v>
      </c>
      <c r="L13" s="13" t="s">
        <v>33</v>
      </c>
    </row>
    <row r="14" spans="1:14" x14ac:dyDescent="0.25">
      <c r="A14" s="7" t="s">
        <v>23</v>
      </c>
      <c r="B14" s="8">
        <v>45678</v>
      </c>
      <c r="C14" s="7" t="s">
        <v>10</v>
      </c>
      <c r="D14" s="7" t="s">
        <v>11</v>
      </c>
      <c r="E14" s="9">
        <v>9955</v>
      </c>
      <c r="F14" s="10">
        <v>17165</v>
      </c>
      <c r="G14" s="10">
        <f t="shared" si="0"/>
        <v>858.25</v>
      </c>
      <c r="H14" s="7" t="s">
        <v>23</v>
      </c>
      <c r="I14" s="7" t="s">
        <v>10</v>
      </c>
      <c r="K14" t="s">
        <v>27</v>
      </c>
      <c r="L14" s="11">
        <f>SUM(G4:G36)</f>
        <v>41194.200000000004</v>
      </c>
    </row>
    <row r="15" spans="1:14" x14ac:dyDescent="0.25">
      <c r="A15" s="7" t="s">
        <v>24</v>
      </c>
      <c r="B15" s="8">
        <v>45720</v>
      </c>
      <c r="C15" s="7" t="s">
        <v>13</v>
      </c>
      <c r="D15" s="7" t="s">
        <v>11</v>
      </c>
      <c r="E15" s="9">
        <v>16707</v>
      </c>
      <c r="F15" s="10">
        <v>28317</v>
      </c>
      <c r="G15" s="10">
        <f t="shared" si="0"/>
        <v>1415.8500000000001</v>
      </c>
      <c r="H15" s="7" t="s">
        <v>24</v>
      </c>
      <c r="I15" s="7" t="s">
        <v>13</v>
      </c>
      <c r="K15" t="s">
        <v>28</v>
      </c>
      <c r="L15" s="11">
        <f>AVERAGE(G4:G36)</f>
        <v>1248.3090909090911</v>
      </c>
    </row>
    <row r="16" spans="1:14" x14ac:dyDescent="0.25">
      <c r="A16" s="7" t="s">
        <v>22</v>
      </c>
      <c r="B16" s="8">
        <v>45731</v>
      </c>
      <c r="C16" s="7" t="s">
        <v>21</v>
      </c>
      <c r="D16" s="7" t="s">
        <v>25</v>
      </c>
      <c r="E16" s="9">
        <v>11178</v>
      </c>
      <c r="F16" s="10">
        <v>21092</v>
      </c>
      <c r="G16" s="10">
        <f t="shared" si="0"/>
        <v>1054.6000000000001</v>
      </c>
      <c r="H16" s="7" t="s">
        <v>22</v>
      </c>
      <c r="I16" s="7" t="s">
        <v>21</v>
      </c>
      <c r="K16" t="s">
        <v>29</v>
      </c>
      <c r="L16" s="11">
        <f>MAX(G4:G36)</f>
        <v>1967.45</v>
      </c>
      <c r="M16" t="str">
        <f>VLOOKUP(L16,$G$4:$I$36,3,0)</f>
        <v>Luiza</v>
      </c>
    </row>
    <row r="17" spans="1:13" x14ac:dyDescent="0.25">
      <c r="A17" s="7" t="s">
        <v>24</v>
      </c>
      <c r="B17" s="8">
        <v>45722</v>
      </c>
      <c r="C17" s="7" t="s">
        <v>21</v>
      </c>
      <c r="D17" s="7" t="s">
        <v>14</v>
      </c>
      <c r="E17" s="9">
        <v>11317</v>
      </c>
      <c r="F17" s="10">
        <v>23096</v>
      </c>
      <c r="G17" s="10">
        <f t="shared" si="0"/>
        <v>1154.8</v>
      </c>
      <c r="H17" s="7" t="s">
        <v>24</v>
      </c>
      <c r="I17" s="7" t="s">
        <v>21</v>
      </c>
      <c r="K17" t="s">
        <v>30</v>
      </c>
      <c r="L17" s="11">
        <f>MIN(G4:G36)</f>
        <v>833.90000000000009</v>
      </c>
      <c r="M17" t="str">
        <f>VLOOKUP(L17,$G$4:$I$36,3,0)</f>
        <v>Luiza</v>
      </c>
    </row>
    <row r="18" spans="1:13" x14ac:dyDescent="0.25">
      <c r="A18" s="7" t="s">
        <v>20</v>
      </c>
      <c r="B18" s="8">
        <v>45664</v>
      </c>
      <c r="C18" s="7" t="s">
        <v>10</v>
      </c>
      <c r="D18" s="7" t="s">
        <v>19</v>
      </c>
      <c r="E18" s="9">
        <v>15114</v>
      </c>
      <c r="F18" s="10">
        <v>27990</v>
      </c>
      <c r="G18" s="10">
        <f t="shared" si="0"/>
        <v>1399.5</v>
      </c>
      <c r="H18" s="7" t="s">
        <v>20</v>
      </c>
      <c r="I18" s="7" t="s">
        <v>10</v>
      </c>
    </row>
    <row r="19" spans="1:13" x14ac:dyDescent="0.25">
      <c r="A19" s="7" t="s">
        <v>26</v>
      </c>
      <c r="B19" s="8">
        <v>45661</v>
      </c>
      <c r="C19" s="7" t="s">
        <v>18</v>
      </c>
      <c r="D19" s="7" t="s">
        <v>17</v>
      </c>
      <c r="E19" s="9">
        <v>8505</v>
      </c>
      <c r="F19" s="10">
        <v>16678</v>
      </c>
      <c r="G19" s="10">
        <f t="shared" si="0"/>
        <v>833.90000000000009</v>
      </c>
      <c r="H19" s="7" t="s">
        <v>26</v>
      </c>
      <c r="I19" s="7" t="s">
        <v>18</v>
      </c>
      <c r="K19" s="13" t="s">
        <v>31</v>
      </c>
      <c r="L19" s="14">
        <f>L9-L4-L14</f>
        <v>359011.8</v>
      </c>
    </row>
    <row r="20" spans="1:13" x14ac:dyDescent="0.25">
      <c r="A20" s="7" t="s">
        <v>20</v>
      </c>
      <c r="B20" s="8">
        <v>45695</v>
      </c>
      <c r="C20" s="7" t="s">
        <v>18</v>
      </c>
      <c r="D20" s="7" t="s">
        <v>25</v>
      </c>
      <c r="E20" s="9">
        <v>10084</v>
      </c>
      <c r="F20" s="10">
        <v>21457</v>
      </c>
      <c r="G20" s="10">
        <f t="shared" si="0"/>
        <v>1072.8500000000001</v>
      </c>
      <c r="H20" s="7" t="s">
        <v>20</v>
      </c>
      <c r="I20" s="7" t="s">
        <v>18</v>
      </c>
    </row>
    <row r="21" spans="1:13" x14ac:dyDescent="0.25">
      <c r="A21" s="7" t="s">
        <v>22</v>
      </c>
      <c r="B21" s="8">
        <v>45701</v>
      </c>
      <c r="C21" s="7" t="s">
        <v>18</v>
      </c>
      <c r="D21" s="7" t="s">
        <v>11</v>
      </c>
      <c r="E21" s="9">
        <v>13488</v>
      </c>
      <c r="F21" s="10">
        <v>28102</v>
      </c>
      <c r="G21" s="10">
        <f t="shared" si="0"/>
        <v>1405.1000000000001</v>
      </c>
      <c r="H21" s="7" t="s">
        <v>22</v>
      </c>
      <c r="I21" s="7" t="s">
        <v>18</v>
      </c>
    </row>
    <row r="22" spans="1:13" x14ac:dyDescent="0.25">
      <c r="A22" s="7" t="s">
        <v>24</v>
      </c>
      <c r="B22" s="8">
        <v>45719</v>
      </c>
      <c r="C22" s="7" t="s">
        <v>16</v>
      </c>
      <c r="D22" s="7" t="s">
        <v>14</v>
      </c>
      <c r="E22" s="9">
        <v>13897</v>
      </c>
      <c r="F22" s="10">
        <v>24381</v>
      </c>
      <c r="G22" s="10">
        <f t="shared" si="0"/>
        <v>1219.05</v>
      </c>
      <c r="H22" s="7" t="s">
        <v>24</v>
      </c>
      <c r="I22" s="7" t="s">
        <v>16</v>
      </c>
    </row>
    <row r="23" spans="1:13" x14ac:dyDescent="0.25">
      <c r="A23" s="7" t="s">
        <v>22</v>
      </c>
      <c r="B23" s="8">
        <v>45661</v>
      </c>
      <c r="C23" s="7" t="s">
        <v>18</v>
      </c>
      <c r="D23" s="7" t="s">
        <v>11</v>
      </c>
      <c r="E23" s="9">
        <v>13400</v>
      </c>
      <c r="F23" s="10">
        <v>27918</v>
      </c>
      <c r="G23" s="10">
        <f t="shared" si="0"/>
        <v>1395.9</v>
      </c>
      <c r="H23" s="7" t="s">
        <v>22</v>
      </c>
      <c r="I23" s="7" t="s">
        <v>18</v>
      </c>
    </row>
    <row r="24" spans="1:13" x14ac:dyDescent="0.25">
      <c r="A24" s="7" t="s">
        <v>24</v>
      </c>
      <c r="B24" s="8">
        <v>45734</v>
      </c>
      <c r="C24" s="7" t="s">
        <v>21</v>
      </c>
      <c r="D24" s="7" t="s">
        <v>11</v>
      </c>
      <c r="E24" s="9">
        <v>10943</v>
      </c>
      <c r="F24" s="10">
        <v>21886</v>
      </c>
      <c r="G24" s="10">
        <f t="shared" si="0"/>
        <v>1094.3</v>
      </c>
      <c r="H24" s="7" t="s">
        <v>24</v>
      </c>
      <c r="I24" s="7" t="s">
        <v>21</v>
      </c>
    </row>
    <row r="25" spans="1:13" x14ac:dyDescent="0.25">
      <c r="A25" s="7" t="s">
        <v>15</v>
      </c>
      <c r="B25" s="8">
        <v>45687</v>
      </c>
      <c r="C25" s="7" t="s">
        <v>21</v>
      </c>
      <c r="D25" s="7" t="s">
        <v>17</v>
      </c>
      <c r="E25" s="9">
        <v>8468</v>
      </c>
      <c r="F25" s="10">
        <v>20654</v>
      </c>
      <c r="G25" s="10">
        <f t="shared" si="0"/>
        <v>1032.7</v>
      </c>
      <c r="H25" s="7" t="s">
        <v>15</v>
      </c>
      <c r="I25" s="7" t="s">
        <v>21</v>
      </c>
    </row>
    <row r="26" spans="1:13" x14ac:dyDescent="0.25">
      <c r="A26" s="7" t="s">
        <v>12</v>
      </c>
      <c r="B26" s="8">
        <v>45714</v>
      </c>
      <c r="C26" s="7" t="s">
        <v>13</v>
      </c>
      <c r="D26" s="7" t="s">
        <v>17</v>
      </c>
      <c r="E26" s="9">
        <v>12147</v>
      </c>
      <c r="F26" s="10">
        <v>20944</v>
      </c>
      <c r="G26" s="10">
        <f t="shared" si="0"/>
        <v>1047.2</v>
      </c>
      <c r="H26" s="7" t="s">
        <v>12</v>
      </c>
      <c r="I26" s="7" t="s">
        <v>13</v>
      </c>
    </row>
    <row r="27" spans="1:13" x14ac:dyDescent="0.25">
      <c r="A27" s="7" t="s">
        <v>24</v>
      </c>
      <c r="B27" s="8">
        <v>45732</v>
      </c>
      <c r="C27" s="7" t="s">
        <v>16</v>
      </c>
      <c r="D27" s="7" t="s">
        <v>17</v>
      </c>
      <c r="E27" s="9">
        <v>12041</v>
      </c>
      <c r="F27" s="10">
        <v>27367</v>
      </c>
      <c r="G27" s="10">
        <f t="shared" si="0"/>
        <v>1368.3500000000001</v>
      </c>
      <c r="H27" s="7" t="s">
        <v>24</v>
      </c>
      <c r="I27" s="7" t="s">
        <v>16</v>
      </c>
    </row>
    <row r="28" spans="1:13" x14ac:dyDescent="0.25">
      <c r="A28" s="7" t="s">
        <v>12</v>
      </c>
      <c r="B28" s="8">
        <v>45658</v>
      </c>
      <c r="C28" s="7" t="s">
        <v>18</v>
      </c>
      <c r="D28" s="7" t="s">
        <v>25</v>
      </c>
      <c r="E28" s="9">
        <v>8097</v>
      </c>
      <c r="F28" s="10">
        <v>20243</v>
      </c>
      <c r="G28" s="10">
        <f t="shared" si="0"/>
        <v>1012.1500000000001</v>
      </c>
      <c r="H28" s="7" t="s">
        <v>12</v>
      </c>
      <c r="I28" s="7" t="s">
        <v>18</v>
      </c>
    </row>
    <row r="29" spans="1:13" x14ac:dyDescent="0.25">
      <c r="A29" s="7" t="s">
        <v>12</v>
      </c>
      <c r="B29" s="8">
        <v>45695</v>
      </c>
      <c r="C29" s="7" t="s">
        <v>21</v>
      </c>
      <c r="D29" s="7" t="s">
        <v>11</v>
      </c>
      <c r="E29" s="9">
        <v>12251</v>
      </c>
      <c r="F29" s="10">
        <v>27225</v>
      </c>
      <c r="G29" s="10">
        <f t="shared" si="0"/>
        <v>1361.25</v>
      </c>
      <c r="H29" s="7" t="s">
        <v>12</v>
      </c>
      <c r="I29" s="7" t="s">
        <v>21</v>
      </c>
    </row>
    <row r="30" spans="1:13" x14ac:dyDescent="0.25">
      <c r="A30" s="7" t="s">
        <v>15</v>
      </c>
      <c r="B30" s="8">
        <v>45699</v>
      </c>
      <c r="C30" s="7" t="s">
        <v>10</v>
      </c>
      <c r="D30" s="7" t="s">
        <v>19</v>
      </c>
      <c r="E30" s="9">
        <v>11239</v>
      </c>
      <c r="F30" s="10">
        <v>21614</v>
      </c>
      <c r="G30" s="10">
        <f t="shared" si="0"/>
        <v>1080.7</v>
      </c>
      <c r="H30" s="7" t="s">
        <v>15</v>
      </c>
      <c r="I30" s="7" t="s">
        <v>10</v>
      </c>
    </row>
    <row r="31" spans="1:13" x14ac:dyDescent="0.25">
      <c r="A31" s="7" t="s">
        <v>26</v>
      </c>
      <c r="B31" s="8">
        <v>45695</v>
      </c>
      <c r="C31" s="7" t="s">
        <v>21</v>
      </c>
      <c r="D31" s="7" t="s">
        <v>19</v>
      </c>
      <c r="E31" s="9">
        <v>10010</v>
      </c>
      <c r="F31" s="10">
        <v>18200</v>
      </c>
      <c r="G31" s="10">
        <f t="shared" si="0"/>
        <v>910</v>
      </c>
      <c r="H31" s="7" t="s">
        <v>26</v>
      </c>
      <c r="I31" s="7" t="s">
        <v>21</v>
      </c>
    </row>
    <row r="32" spans="1:13" x14ac:dyDescent="0.25">
      <c r="A32" s="7" t="s">
        <v>20</v>
      </c>
      <c r="B32" s="8">
        <v>45711</v>
      </c>
      <c r="C32" s="7" t="s">
        <v>13</v>
      </c>
      <c r="D32" s="7" t="s">
        <v>11</v>
      </c>
      <c r="E32" s="9">
        <v>12103</v>
      </c>
      <c r="F32" s="10">
        <v>21613</v>
      </c>
      <c r="G32" s="10">
        <f t="shared" si="0"/>
        <v>1080.6500000000001</v>
      </c>
      <c r="H32" s="7" t="s">
        <v>20</v>
      </c>
      <c r="I32" s="7" t="s">
        <v>13</v>
      </c>
    </row>
    <row r="33" spans="1:10" x14ac:dyDescent="0.25">
      <c r="A33" s="7" t="s">
        <v>24</v>
      </c>
      <c r="B33" s="8">
        <v>45735</v>
      </c>
      <c r="C33" s="7" t="s">
        <v>16</v>
      </c>
      <c r="D33" s="7" t="s">
        <v>14</v>
      </c>
      <c r="E33" s="9">
        <v>12847</v>
      </c>
      <c r="F33" s="10">
        <v>24241</v>
      </c>
      <c r="G33" s="10">
        <f t="shared" si="0"/>
        <v>1212.05</v>
      </c>
      <c r="H33" s="7" t="s">
        <v>24</v>
      </c>
      <c r="I33" s="7" t="s">
        <v>16</v>
      </c>
    </row>
    <row r="34" spans="1:10" x14ac:dyDescent="0.25">
      <c r="A34" s="7" t="s">
        <v>26</v>
      </c>
      <c r="B34" s="8">
        <v>45689</v>
      </c>
      <c r="C34" s="7" t="s">
        <v>18</v>
      </c>
      <c r="D34" s="7" t="s">
        <v>25</v>
      </c>
      <c r="E34" s="9">
        <v>9339</v>
      </c>
      <c r="F34" s="10">
        <v>19871</v>
      </c>
      <c r="G34" s="10">
        <f t="shared" si="0"/>
        <v>993.55000000000007</v>
      </c>
      <c r="H34" s="7" t="s">
        <v>26</v>
      </c>
      <c r="I34" s="7" t="s">
        <v>18</v>
      </c>
    </row>
    <row r="35" spans="1:10" x14ac:dyDescent="0.25">
      <c r="A35" s="7" t="s">
        <v>20</v>
      </c>
      <c r="B35" s="8">
        <v>45684</v>
      </c>
      <c r="C35" s="7" t="s">
        <v>16</v>
      </c>
      <c r="D35" s="7" t="s">
        <v>19</v>
      </c>
      <c r="E35" s="9">
        <v>11380</v>
      </c>
      <c r="F35" s="10">
        <v>26466</v>
      </c>
      <c r="G35" s="10">
        <f t="shared" si="0"/>
        <v>1323.3000000000002</v>
      </c>
      <c r="H35" s="7" t="s">
        <v>20</v>
      </c>
      <c r="I35" s="7" t="s">
        <v>16</v>
      </c>
    </row>
    <row r="36" spans="1:10" x14ac:dyDescent="0.25">
      <c r="A36" s="7" t="s">
        <v>20</v>
      </c>
      <c r="B36" s="8">
        <v>45689</v>
      </c>
      <c r="C36" s="7" t="s">
        <v>10</v>
      </c>
      <c r="D36" s="7" t="s">
        <v>14</v>
      </c>
      <c r="E36" s="9">
        <v>16093</v>
      </c>
      <c r="F36" s="10">
        <v>28235</v>
      </c>
      <c r="G36" s="10">
        <f t="shared" si="0"/>
        <v>1411.75</v>
      </c>
      <c r="H36" s="7" t="s">
        <v>20</v>
      </c>
      <c r="I36" s="7" t="s">
        <v>10</v>
      </c>
    </row>
    <row r="39" spans="1:10" x14ac:dyDescent="0.25">
      <c r="E39" s="11"/>
      <c r="F39" s="11"/>
      <c r="G39" s="11"/>
      <c r="H39" s="11"/>
      <c r="I39" s="11"/>
      <c r="J39" s="11"/>
    </row>
  </sheetData>
  <mergeCells count="3">
    <mergeCell ref="A1:G1"/>
    <mergeCell ref="A2:E2"/>
    <mergeCell ref="K1:M1"/>
  </mergeCells>
  <pageMargins left="0.511811024" right="0.511811024" top="0.78740157499999996" bottom="0.78740157499999996" header="0.31496062000000002" footer="0.31496062000000002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D4FF80-9346-464D-86F1-3E161E8D1233}">
  <dimension ref="A1"/>
  <sheetViews>
    <sheetView showGridLines="0" showRowColHeaders="0" tabSelected="1" workbookViewId="0">
      <selection activeCell="G39" sqref="G39"/>
    </sheetView>
  </sheetViews>
  <sheetFormatPr defaultRowHeight="15" x14ac:dyDescent="0.25"/>
  <sheetData>
    <row r="1" spans="1:1" s="21" customFormat="1" ht="46.5" x14ac:dyDescent="0.7">
      <c r="A1" s="21" t="s">
        <v>42</v>
      </c>
    </row>
  </sheetData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  <ext xmlns:x15="http://schemas.microsoft.com/office/spreadsheetml/2010/11/main" uri="{7E03D99C-DC04-49d9-9315-930204A7B6E9}">
      <x15:timelineRefs>
        <x15:timelineRef r:id="rId3"/>
      </x15:timelineRef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Preço dos veículos</vt:lpstr>
      <vt:lpstr>Quantidade de veículos</vt:lpstr>
      <vt:lpstr>Vendedores quantidade</vt:lpstr>
      <vt:lpstr>Vendedores preço</vt:lpstr>
      <vt:lpstr>Vendas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Ivo Giannini</dc:creator>
  <cp:lastModifiedBy>Ivo Giannini</cp:lastModifiedBy>
  <cp:lastPrinted>2025-04-12T14:02:26Z</cp:lastPrinted>
  <dcterms:created xsi:type="dcterms:W3CDTF">2025-04-12T13:58:51Z</dcterms:created>
  <dcterms:modified xsi:type="dcterms:W3CDTF">2025-04-12T15:14:28Z</dcterms:modified>
</cp:coreProperties>
</file>