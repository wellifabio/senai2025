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drawings/drawing7.xml" ContentType="application/vnd.openxmlformats-officedocument.drawing+xml"/>
  <Override PartName="/xl/slicers/slicer1.xml" ContentType="application/vnd.ms-excel.slicer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rofessor\Downloads\"/>
    </mc:Choice>
  </mc:AlternateContent>
  <xr:revisionPtr revIDLastSave="0" documentId="13_ncr:1_{41F6B6A5-478D-4F14-A1F6-AA927E83F91A}" xr6:coauthVersionLast="47" xr6:coauthVersionMax="47" xr10:uidLastSave="{00000000-0000-0000-0000-000000000000}"/>
  <bookViews>
    <workbookView xWindow="-120" yWindow="-120" windowWidth="29040" windowHeight="15720" firstSheet="1" activeTab="6" xr2:uid="{1A287F2D-5BD7-48F3-9D28-096428CDE408}"/>
  </bookViews>
  <sheets>
    <sheet name="Produção Mensal" sheetId="1" r:id="rId1"/>
    <sheet name="Por produto" sheetId="4" r:id="rId2"/>
    <sheet name="Total" sheetId="5" r:id="rId3"/>
    <sheet name="Dinâmico" sheetId="10" r:id="rId4"/>
    <sheet name="Dinamico Janeiro" sheetId="9" r:id="rId5"/>
    <sheet name="Dinamico total" sheetId="8" r:id="rId6"/>
    <sheet name="Dashboard01" sheetId="11" r:id="rId7"/>
  </sheets>
  <definedNames>
    <definedName name="SegmentaçãodeDados_Produto">#N/A</definedName>
  </definedNames>
  <calcPr calcId="191029"/>
  <pivotCaches>
    <pivotCache cacheId="0" r:id="rId8"/>
  </pivotCaches>
  <fileRecoveryPr repairLoad="1"/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5" l="1"/>
  <c r="D8" i="5"/>
  <c r="E8" i="5"/>
  <c r="F8" i="5"/>
  <c r="G8" i="5"/>
  <c r="B8" i="5"/>
  <c r="H4" i="5"/>
  <c r="H5" i="5"/>
  <c r="H6" i="5"/>
  <c r="H7" i="5"/>
  <c r="H3" i="5"/>
</calcChain>
</file>

<file path=xl/sharedStrings.xml><?xml version="1.0" encoding="utf-8"?>
<sst xmlns="http://schemas.openxmlformats.org/spreadsheetml/2006/main" count="78" uniqueCount="26">
  <si>
    <t>Janeiro</t>
  </si>
  <si>
    <t>Fevereiro</t>
  </si>
  <si>
    <t>Março</t>
  </si>
  <si>
    <t>Abril</t>
  </si>
  <si>
    <t>Maio</t>
  </si>
  <si>
    <t>Junho</t>
  </si>
  <si>
    <t>Soja</t>
  </si>
  <si>
    <t>Milho</t>
  </si>
  <si>
    <t>Arroz</t>
  </si>
  <si>
    <t>Feijão</t>
  </si>
  <si>
    <t>Trigo</t>
  </si>
  <si>
    <t>Total Mensal</t>
  </si>
  <si>
    <t>Total Semestral</t>
  </si>
  <si>
    <t>Produto</t>
  </si>
  <si>
    <t>Produção do primeiro semestre</t>
  </si>
  <si>
    <t>Rótulos de Linha</t>
  </si>
  <si>
    <t>Total Geral</t>
  </si>
  <si>
    <t>Soma de Janeiro</t>
  </si>
  <si>
    <t>Soma de Total Semestral</t>
  </si>
  <si>
    <t>Produção Semestral</t>
  </si>
  <si>
    <t>T Janeiro</t>
  </si>
  <si>
    <t>T Fevereiro</t>
  </si>
  <si>
    <t>T Março</t>
  </si>
  <si>
    <t>T Abril</t>
  </si>
  <si>
    <t>T Maio</t>
  </si>
  <si>
    <t>T 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</si>
</sst>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36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/>
    <xf numFmtId="0" fontId="3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'Produção Mensal'!$B$2</c:f>
              <c:strCache>
                <c:ptCount val="1"/>
                <c:pt idx="0">
                  <c:v>Janeiro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'Produção Mensal'!$A$3:$A$7</c:f>
              <c:strCache>
                <c:ptCount val="5"/>
                <c:pt idx="0">
                  <c:v>Soja</c:v>
                </c:pt>
                <c:pt idx="1">
                  <c:v>Milho</c:v>
                </c:pt>
                <c:pt idx="2">
                  <c:v>Arroz</c:v>
                </c:pt>
                <c:pt idx="3">
                  <c:v>Feijão</c:v>
                </c:pt>
                <c:pt idx="4">
                  <c:v>Trigo</c:v>
                </c:pt>
              </c:strCache>
            </c:strRef>
          </c:cat>
          <c:val>
            <c:numRef>
              <c:f>'Produção Mensal'!$B$3:$B$7</c:f>
              <c:numCache>
                <c:formatCode>General</c:formatCode>
                <c:ptCount val="5"/>
                <c:pt idx="0">
                  <c:v>10978</c:v>
                </c:pt>
                <c:pt idx="1">
                  <c:v>27515</c:v>
                </c:pt>
                <c:pt idx="2">
                  <c:v>27055</c:v>
                </c:pt>
                <c:pt idx="3">
                  <c:v>16601</c:v>
                </c:pt>
                <c:pt idx="4">
                  <c:v>33125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E-4FEC-B5C1-8EC241710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5048976"/>
        <c:axId val="1165052336"/>
      </c:barChart>
      <c:catAx>
        <c:axId val="116504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5052336"/>
        <c:crosses val="autoZero"/>
        <c:auto val="1"/>
        <c:lblAlgn val="ctr"/>
        <c:lblOffset val="100"/>
        <c:noMultiLvlLbl val="0"/>
      </c:catAx>
      <c:valAx>
        <c:axId val="116505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504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'Produção Mensal'!$C$2</c:f>
              <c:strCache>
                <c:ptCount val="1"/>
                <c:pt idx="0">
                  <c:v>Fevereiro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'Produção Mensal'!$A$3:$A$7</c:f>
              <c:strCache>
                <c:ptCount val="5"/>
                <c:pt idx="0">
                  <c:v>Soja</c:v>
                </c:pt>
                <c:pt idx="1">
                  <c:v>Milho</c:v>
                </c:pt>
                <c:pt idx="2">
                  <c:v>Arroz</c:v>
                </c:pt>
                <c:pt idx="3">
                  <c:v>Feijão</c:v>
                </c:pt>
                <c:pt idx="4">
                  <c:v>Trigo</c:v>
                </c:pt>
              </c:strCache>
            </c:strRef>
          </c:cat>
          <c:val>
            <c:numRef>
              <c:f>'Produção Mensal'!$C$3:$C$7</c:f>
              <c:numCache>
                <c:formatCode>General</c:formatCode>
                <c:ptCount val="5"/>
                <c:pt idx="0">
                  <c:v>34685</c:v>
                </c:pt>
                <c:pt idx="1">
                  <c:v>16966</c:v>
                </c:pt>
                <c:pt idx="2">
                  <c:v>39004</c:v>
                </c:pt>
                <c:pt idx="3">
                  <c:v>40283</c:v>
                </c:pt>
                <c:pt idx="4">
                  <c:v>21458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8-4A0C-9089-0AE73E0C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7270304"/>
        <c:axId val="1227276064"/>
      </c:barChart>
      <c:catAx>
        <c:axId val="122727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7276064"/>
        <c:crosses val="autoZero"/>
        <c:auto val="1"/>
        <c:lblAlgn val="ctr"/>
        <c:lblOffset val="100"/>
        <c:noMultiLvlLbl val="0"/>
      </c:catAx>
      <c:valAx>
        <c:axId val="122727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727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'Produção Mensal'!$D$2</c:f>
              <c:strCache>
                <c:ptCount val="1"/>
                <c:pt idx="0">
                  <c:v>Março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'Produção Mensal'!$A$3:$A$7</c:f>
              <c:strCache>
                <c:ptCount val="5"/>
                <c:pt idx="0">
                  <c:v>Soja</c:v>
                </c:pt>
                <c:pt idx="1">
                  <c:v>Milho</c:v>
                </c:pt>
                <c:pt idx="2">
                  <c:v>Arroz</c:v>
                </c:pt>
                <c:pt idx="3">
                  <c:v>Feijão</c:v>
                </c:pt>
                <c:pt idx="4">
                  <c:v>Trigo</c:v>
                </c:pt>
              </c:strCache>
            </c:strRef>
          </c:cat>
          <c:val>
            <c:numRef>
              <c:f>'Produção Mensal'!$D$3:$D$7</c:f>
              <c:numCache>
                <c:formatCode>General</c:formatCode>
                <c:ptCount val="5"/>
                <c:pt idx="0">
                  <c:v>33448</c:v>
                </c:pt>
                <c:pt idx="1">
                  <c:v>23700</c:v>
                </c:pt>
                <c:pt idx="2">
                  <c:v>37134</c:v>
                </c:pt>
                <c:pt idx="3">
                  <c:v>10316</c:v>
                </c:pt>
                <c:pt idx="4">
                  <c:v>40149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0-4FA4-9FE4-D8702E1EA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1022608"/>
        <c:axId val="1091023088"/>
      </c:barChart>
      <c:catAx>
        <c:axId val="109102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023088"/>
        <c:crosses val="autoZero"/>
        <c:auto val="1"/>
        <c:lblAlgn val="ctr"/>
        <c:lblOffset val="100"/>
        <c:noMultiLvlLbl val="0"/>
      </c:catAx>
      <c:valAx>
        <c:axId val="109102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02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'Produção Mensal'!$F$2</c:f>
              <c:strCache>
                <c:ptCount val="1"/>
                <c:pt idx="0">
                  <c:v>Maio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'Produção Mensal'!$A$3:$A$7</c:f>
              <c:strCache>
                <c:ptCount val="5"/>
                <c:pt idx="0">
                  <c:v>Soja</c:v>
                </c:pt>
                <c:pt idx="1">
                  <c:v>Milho</c:v>
                </c:pt>
                <c:pt idx="2">
                  <c:v>Arroz</c:v>
                </c:pt>
                <c:pt idx="3">
                  <c:v>Feijão</c:v>
                </c:pt>
                <c:pt idx="4">
                  <c:v>Trigo</c:v>
                </c:pt>
              </c:strCache>
            </c:strRef>
          </c:cat>
          <c:val>
            <c:numRef>
              <c:f>'Produção Mensal'!$F$3:$F$7</c:f>
              <c:numCache>
                <c:formatCode>General</c:formatCode>
                <c:ptCount val="5"/>
                <c:pt idx="0">
                  <c:v>18624</c:v>
                </c:pt>
                <c:pt idx="1">
                  <c:v>29491</c:v>
                </c:pt>
                <c:pt idx="2">
                  <c:v>41547</c:v>
                </c:pt>
                <c:pt idx="3">
                  <c:v>12916</c:v>
                </c:pt>
                <c:pt idx="4">
                  <c:v>17283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1-4142-A52E-93970F50E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0879696"/>
        <c:axId val="1090877776"/>
      </c:barChart>
      <c:catAx>
        <c:axId val="109087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877776"/>
        <c:crosses val="autoZero"/>
        <c:auto val="1"/>
        <c:lblAlgn val="ctr"/>
        <c:lblOffset val="100"/>
        <c:noMultiLvlLbl val="0"/>
      </c:catAx>
      <c:valAx>
        <c:axId val="10908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87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'Produção Mensal'!$G$2</c:f>
              <c:strCache>
                <c:ptCount val="1"/>
                <c:pt idx="0">
                  <c:v>Junho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'Produção Mensal'!$A$3:$A$7</c:f>
              <c:strCache>
                <c:ptCount val="5"/>
                <c:pt idx="0">
                  <c:v>Soja</c:v>
                </c:pt>
                <c:pt idx="1">
                  <c:v>Milho</c:v>
                </c:pt>
                <c:pt idx="2">
                  <c:v>Arroz</c:v>
                </c:pt>
                <c:pt idx="3">
                  <c:v>Feijão</c:v>
                </c:pt>
                <c:pt idx="4">
                  <c:v>Trigo</c:v>
                </c:pt>
              </c:strCache>
            </c:strRef>
          </c:cat>
          <c:val>
            <c:numRef>
              <c:f>'Produção Mensal'!$G$3:$G$7</c:f>
              <c:numCache>
                <c:formatCode>General</c:formatCode>
                <c:ptCount val="5"/>
                <c:pt idx="0">
                  <c:v>17480</c:v>
                </c:pt>
                <c:pt idx="1">
                  <c:v>17801</c:v>
                </c:pt>
                <c:pt idx="2">
                  <c:v>23920</c:v>
                </c:pt>
                <c:pt idx="3">
                  <c:v>18128</c:v>
                </c:pt>
                <c:pt idx="4">
                  <c:v>23626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6-452D-A196-8B74F38DC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2393712"/>
        <c:axId val="1312390352"/>
      </c:barChart>
      <c:catAx>
        <c:axId val="131239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2390352"/>
        <c:crosses val="autoZero"/>
        <c:auto val="1"/>
        <c:lblAlgn val="ctr"/>
        <c:lblOffset val="100"/>
        <c:noMultiLvlLbl val="0"/>
      </c:catAx>
      <c:valAx>
        <c:axId val="131239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239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'Produção Mensal'!$E$2</c:f>
              <c:strCache>
                <c:ptCount val="1"/>
                <c:pt idx="0">
                  <c:v>Abril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'Produção Mensal'!$A$3:$A$7</c:f>
              <c:strCache>
                <c:ptCount val="5"/>
                <c:pt idx="0">
                  <c:v>Soja</c:v>
                </c:pt>
                <c:pt idx="1">
                  <c:v>Milho</c:v>
                </c:pt>
                <c:pt idx="2">
                  <c:v>Arroz</c:v>
                </c:pt>
                <c:pt idx="3">
                  <c:v>Feijão</c:v>
                </c:pt>
                <c:pt idx="4">
                  <c:v>Trigo</c:v>
                </c:pt>
              </c:strCache>
            </c:strRef>
          </c:cat>
          <c:val>
            <c:numRef>
              <c:f>'Produção Mensal'!$E$3:$E$7</c:f>
              <c:numCache>
                <c:formatCode>General</c:formatCode>
                <c:ptCount val="5"/>
                <c:pt idx="0">
                  <c:v>36249</c:v>
                </c:pt>
                <c:pt idx="1">
                  <c:v>28597</c:v>
                </c:pt>
                <c:pt idx="2">
                  <c:v>25926</c:v>
                </c:pt>
                <c:pt idx="3">
                  <c:v>15269</c:v>
                </c:pt>
                <c:pt idx="4">
                  <c:v>23538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6-4493-8B9A-B726B9A3E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1135344"/>
        <c:axId val="1341146384"/>
      </c:barChart>
      <c:catAx>
        <c:axId val="134113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146384"/>
        <c:crosses val="autoZero"/>
        <c:auto val="1"/>
        <c:lblAlgn val="ctr"/>
        <c:lblOffset val="100"/>
        <c:noMultiLvlLbl val="0"/>
      </c:catAx>
      <c:valAx>
        <c:axId val="134114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13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'Por produto'!$A$3</c:f>
              <c:strCache>
                <c:ptCount val="1"/>
                <c:pt idx="0">
                  <c:v>Soja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'Por produto'!$B$2:$G$2</c:f>
              <c:strCache>
                <c:ptCount val="6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</c:strCache>
            </c:strRef>
          </c:cat>
          <c:val>
            <c:numRef>
              <c:f>'Por produto'!$B$3:$G$3</c:f>
              <c:numCache>
                <c:formatCode>General</c:formatCode>
                <c:ptCount val="6"/>
                <c:pt idx="0">
                  <c:v>10978</c:v>
                </c:pt>
                <c:pt idx="1">
                  <c:v>34685</c:v>
                </c:pt>
                <c:pt idx="2">
                  <c:v>33448</c:v>
                </c:pt>
                <c:pt idx="3">
                  <c:v>36249</c:v>
                </c:pt>
                <c:pt idx="4">
                  <c:v>18624</c:v>
                </c:pt>
                <c:pt idx="5">
                  <c:v>17480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1D-4FFA-9781-5CE2D8E3C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153584"/>
        <c:axId val="1341137264"/>
      </c:lineChart>
      <c:catAx>
        <c:axId val="134115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137264"/>
        <c:crosses val="autoZero"/>
        <c:auto val="1"/>
        <c:lblAlgn val="ctr"/>
        <c:lblOffset val="100"/>
        <c:noMultiLvlLbl val="0"/>
      </c:catAx>
      <c:valAx>
        <c:axId val="134113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15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'Por produto'!$A$4</c:f>
              <c:strCache>
                <c:ptCount val="1"/>
                <c:pt idx="0">
                  <c:v>Milho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'Por produto'!$B$2:$G$2</c:f>
              <c:strCache>
                <c:ptCount val="6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</c:strCache>
            </c:strRef>
          </c:cat>
          <c:val>
            <c:numRef>
              <c:f>'Por produto'!$B$4:$G$4</c:f>
              <c:numCache>
                <c:formatCode>General</c:formatCode>
                <c:ptCount val="6"/>
                <c:pt idx="0">
                  <c:v>27515</c:v>
                </c:pt>
                <c:pt idx="1">
                  <c:v>16966</c:v>
                </c:pt>
                <c:pt idx="2">
                  <c:v>23700</c:v>
                </c:pt>
                <c:pt idx="3">
                  <c:v>28597</c:v>
                </c:pt>
                <c:pt idx="4">
                  <c:v>29491</c:v>
                </c:pt>
                <c:pt idx="5">
                  <c:v>17801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32-49AC-A7F6-511D925CC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141584"/>
        <c:axId val="1341138704"/>
      </c:lineChart>
      <c:catAx>
        <c:axId val="134114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138704"/>
        <c:crosses val="autoZero"/>
        <c:auto val="1"/>
        <c:lblAlgn val="ctr"/>
        <c:lblOffset val="100"/>
        <c:noMultiLvlLbl val="0"/>
      </c:catAx>
      <c:valAx>
        <c:axId val="134113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14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'Por produto'!$A$5</c:f>
              <c:strCache>
                <c:ptCount val="1"/>
                <c:pt idx="0">
                  <c:v>Arroz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'Por produto'!$B$2:$G$2</c:f>
              <c:strCache>
                <c:ptCount val="6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</c:strCache>
            </c:strRef>
          </c:cat>
          <c:val>
            <c:numRef>
              <c:f>'Por produto'!$B$5:$G$5</c:f>
              <c:numCache>
                <c:formatCode>General</c:formatCode>
                <c:ptCount val="6"/>
                <c:pt idx="0">
                  <c:v>27055</c:v>
                </c:pt>
                <c:pt idx="1">
                  <c:v>39004</c:v>
                </c:pt>
                <c:pt idx="2">
                  <c:v>37134</c:v>
                </c:pt>
                <c:pt idx="3">
                  <c:v>25926</c:v>
                </c:pt>
                <c:pt idx="4">
                  <c:v>41547</c:v>
                </c:pt>
                <c:pt idx="5">
                  <c:v>23920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DD-4856-AAAC-CA8354DBC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137744"/>
        <c:axId val="1341156464"/>
      </c:lineChart>
      <c:catAx>
        <c:axId val="134113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156464"/>
        <c:crosses val="autoZero"/>
        <c:auto val="1"/>
        <c:lblAlgn val="ctr"/>
        <c:lblOffset val="100"/>
        <c:noMultiLvlLbl val="0"/>
      </c:catAx>
      <c:valAx>
        <c:axId val="134115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13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'Por produto'!$A$6</c:f>
              <c:strCache>
                <c:ptCount val="1"/>
                <c:pt idx="0">
                  <c:v>Feijão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'Por produto'!$B$2:$G$2</c:f>
              <c:strCache>
                <c:ptCount val="6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</c:strCache>
            </c:strRef>
          </c:cat>
          <c:val>
            <c:numRef>
              <c:f>'Por produto'!$B$6:$G$6</c:f>
              <c:numCache>
                <c:formatCode>General</c:formatCode>
                <c:ptCount val="6"/>
                <c:pt idx="0">
                  <c:v>16601</c:v>
                </c:pt>
                <c:pt idx="1">
                  <c:v>40283</c:v>
                </c:pt>
                <c:pt idx="2">
                  <c:v>10316</c:v>
                </c:pt>
                <c:pt idx="3">
                  <c:v>15269</c:v>
                </c:pt>
                <c:pt idx="4">
                  <c:v>12916</c:v>
                </c:pt>
                <c:pt idx="5">
                  <c:v>18128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13-429D-B8E3-4033C305F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158384"/>
        <c:axId val="1341142064"/>
      </c:lineChart>
      <c:catAx>
        <c:axId val="134115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142064"/>
        <c:crosses val="autoZero"/>
        <c:auto val="1"/>
        <c:lblAlgn val="ctr"/>
        <c:lblOffset val="100"/>
        <c:noMultiLvlLbl val="0"/>
      </c:catAx>
      <c:valAx>
        <c:axId val="134114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15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'Por produto'!$A$7</c:f>
              <c:strCache>
                <c:ptCount val="1"/>
                <c:pt idx="0">
                  <c:v>Trigo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'Por produto'!$B$2:$G$2</c:f>
              <c:strCache>
                <c:ptCount val="6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</c:strCache>
            </c:strRef>
          </c:cat>
          <c:val>
            <c:numRef>
              <c:f>'Por produto'!$B$7:$G$7</c:f>
              <c:numCache>
                <c:formatCode>General</c:formatCode>
                <c:ptCount val="6"/>
                <c:pt idx="0">
                  <c:v>33125</c:v>
                </c:pt>
                <c:pt idx="1">
                  <c:v>21458</c:v>
                </c:pt>
                <c:pt idx="2">
                  <c:v>40149</c:v>
                </c:pt>
                <c:pt idx="3">
                  <c:v>23538</c:v>
                </c:pt>
                <c:pt idx="4">
                  <c:v>17283</c:v>
                </c:pt>
                <c:pt idx="5">
                  <c:v>23626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4D-4B4C-882B-D8ED11E13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575824"/>
        <c:axId val="1341573424"/>
      </c:lineChart>
      <c:catAx>
        <c:axId val="134157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573424"/>
        <c:crosses val="autoZero"/>
        <c:auto val="1"/>
        <c:lblAlgn val="ctr"/>
        <c:lblOffset val="100"/>
        <c:noMultiLvlLbl val="0"/>
      </c:catAx>
      <c:valAx>
        <c:axId val="134157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57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Total!$H$2</c:f>
              <c:strCache>
                <c:ptCount val="1"/>
                <c:pt idx="0">
                  <c:v>Total Semestral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Total!$A$3:$A$7</c:f>
              <c:strCache>
                <c:ptCount val="5"/>
                <c:pt idx="0">
                  <c:v>Soja</c:v>
                </c:pt>
                <c:pt idx="1">
                  <c:v>Milho</c:v>
                </c:pt>
                <c:pt idx="2">
                  <c:v>Arroz</c:v>
                </c:pt>
                <c:pt idx="3">
                  <c:v>Feijão</c:v>
                </c:pt>
                <c:pt idx="4">
                  <c:v>Trigo</c:v>
                </c:pt>
              </c:strCache>
            </c:strRef>
          </c:cat>
          <c:val>
            <c:numRef>
              <c:f>Total!$H$3:$H$7</c:f>
              <c:numCache>
                <c:formatCode>General</c:formatCode>
                <c:ptCount val="5"/>
                <c:pt idx="0">
                  <c:v>151464</c:v>
                </c:pt>
                <c:pt idx="1">
                  <c:v>144070</c:v>
                </c:pt>
                <c:pt idx="2">
                  <c:v>194586</c:v>
                </c:pt>
                <c:pt idx="3">
                  <c:v>113513</c:v>
                </c:pt>
                <c:pt idx="4">
                  <c:v>159179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9-48ED-B1CA-0B2792664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7275104"/>
        <c:axId val="1341578224"/>
      </c:barChart>
      <c:catAx>
        <c:axId val="122727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578224"/>
        <c:crosses val="autoZero"/>
        <c:auto val="1"/>
        <c:lblAlgn val="ctr"/>
        <c:lblOffset val="100"/>
        <c:noMultiLvlLbl val="0"/>
      </c:catAx>
      <c:valAx>
        <c:axId val="134157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727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Total!$A$8</c:f>
              <c:strCache>
                <c:ptCount val="1"/>
                <c:pt idx="0">
                  <c:v>Total Mensal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Total!$B$2:$G$2</c:f>
              <c:strCache>
                <c:ptCount val="6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</c:strCache>
            </c:strRef>
          </c:cat>
          <c:val>
            <c:numRef>
              <c:f>Total!$B$8:$G$8</c:f>
              <c:numCache>
                <c:formatCode>General</c:formatCode>
                <c:ptCount val="6"/>
                <c:pt idx="0">
                  <c:v>115274</c:v>
                </c:pt>
                <c:pt idx="1">
                  <c:v>152396</c:v>
                </c:pt>
                <c:pt idx="2">
                  <c:v>144747</c:v>
                </c:pt>
                <c:pt idx="3">
                  <c:v>129579</c:v>
                </c:pt>
                <c:pt idx="4">
                  <c:v>119861</c:v>
                </c:pt>
                <c:pt idx="5">
                  <c:v>100955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6-430B-841B-857377D7B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599824"/>
        <c:axId val="1341600304"/>
      </c:lineChart>
      <c:catAx>
        <c:axId val="134159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600304"/>
        <c:crosses val="autoZero"/>
        <c:auto val="1"/>
        <c:lblAlgn val="ctr"/>
        <c:lblOffset val="100"/>
        <c:noMultiLvlLbl val="0"/>
      </c:catAx>
      <c:valAx>
        <c:axId val="134160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59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[Dashboard01.xlsx]Dinâmico!Tabela dinâmica37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Dinâmico!$B$3</c:f>
              <c:strCache>
                <c:ptCount val="1"/>
                <c:pt idx="0">
                  <c:v>T Janeiro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Dinâmico!$A$4:$A$10</c:f>
              <c:strCache>
                <c:ptCount val="6"/>
                <c:pt idx="0">
                  <c:v>Arroz</c:v>
                </c:pt>
                <c:pt idx="1">
                  <c:v>Feijão</c:v>
                </c:pt>
                <c:pt idx="2">
                  <c:v>Milho</c:v>
                </c:pt>
                <c:pt idx="3">
                  <c:v>Soja</c:v>
                </c:pt>
                <c:pt idx="4">
                  <c:v>Total Mensal</c:v>
                </c:pt>
                <c:pt idx="5">
                  <c:v>Trigo</c:v>
                </c:pt>
              </c:strCache>
            </c:strRef>
          </c:cat>
          <c:val>
            <c:numRef>
              <c:f>Dinâmico!$B$4:$B$10</c:f>
              <c:numCache>
                <c:formatCode>General</c:formatCode>
                <c:ptCount val="6"/>
                <c:pt idx="0">
                  <c:v>27055</c:v>
                </c:pt>
                <c:pt idx="1">
                  <c:v>16601</c:v>
                </c:pt>
                <c:pt idx="2">
                  <c:v>27515</c:v>
                </c:pt>
                <c:pt idx="3">
                  <c:v>10978</c:v>
                </c:pt>
                <c:pt idx="4">
                  <c:v>115274</c:v>
                </c:pt>
                <c:pt idx="5">
                  <c:v>33125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7CC-4877-9E12-FC942841011B}"/>
            </c:ext>
          </c:extLst>
        </c:ser>
        <c:ser>
          <c:idx val="1"/>
          <c:order val="1"/>
          <c:tx>
            <c:strRef>
              <c:f>Dinâmico!$C$3</c:f>
              <c:strCache>
                <c:ptCount val="1"/>
                <c:pt idx="0">
                  <c:v>T Fevereiro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Dinâmico!$A$4:$A$10</c:f>
              <c:strCache>
                <c:ptCount val="6"/>
                <c:pt idx="0">
                  <c:v>Arroz</c:v>
                </c:pt>
                <c:pt idx="1">
                  <c:v>Feijão</c:v>
                </c:pt>
                <c:pt idx="2">
                  <c:v>Milho</c:v>
                </c:pt>
                <c:pt idx="3">
                  <c:v>Soja</c:v>
                </c:pt>
                <c:pt idx="4">
                  <c:v>Total Mensal</c:v>
                </c:pt>
                <c:pt idx="5">
                  <c:v>Trigo</c:v>
                </c:pt>
              </c:strCache>
            </c:strRef>
          </c:cat>
          <c:val>
            <c:numRef>
              <c:f>Dinâmico!$C$4:$C$10</c:f>
              <c:numCache>
                <c:formatCode>General</c:formatCode>
                <c:ptCount val="6"/>
                <c:pt idx="0">
                  <c:v>39004</c:v>
                </c:pt>
                <c:pt idx="1">
                  <c:v>40283</c:v>
                </c:pt>
                <c:pt idx="2">
                  <c:v>16966</c:v>
                </c:pt>
                <c:pt idx="3">
                  <c:v>34685</c:v>
                </c:pt>
                <c:pt idx="4">
                  <c:v>152396</c:v>
                </c:pt>
                <c:pt idx="5">
                  <c:v>21458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7CC-4877-9E12-FC942841011B}"/>
            </c:ext>
          </c:extLst>
        </c:ser>
        <c:ser>
          <c:idx val="2"/>
          <c:order val="2"/>
          <c:tx>
            <c:strRef>
              <c:f>Dinâmico!$D$3</c:f>
              <c:strCache>
                <c:ptCount val="1"/>
                <c:pt idx="0">
                  <c:v>T Março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Dinâmico!$A$4:$A$10</c:f>
              <c:strCache>
                <c:ptCount val="6"/>
                <c:pt idx="0">
                  <c:v>Arroz</c:v>
                </c:pt>
                <c:pt idx="1">
                  <c:v>Feijão</c:v>
                </c:pt>
                <c:pt idx="2">
                  <c:v>Milho</c:v>
                </c:pt>
                <c:pt idx="3">
                  <c:v>Soja</c:v>
                </c:pt>
                <c:pt idx="4">
                  <c:v>Total Mensal</c:v>
                </c:pt>
                <c:pt idx="5">
                  <c:v>Trigo</c:v>
                </c:pt>
              </c:strCache>
            </c:strRef>
          </c:cat>
          <c:val>
            <c:numRef>
              <c:f>Dinâmico!$D$4:$D$10</c:f>
              <c:numCache>
                <c:formatCode>General</c:formatCode>
                <c:ptCount val="6"/>
                <c:pt idx="0">
                  <c:v>37134</c:v>
                </c:pt>
                <c:pt idx="1">
                  <c:v>10316</c:v>
                </c:pt>
                <c:pt idx="2">
                  <c:v>23700</c:v>
                </c:pt>
                <c:pt idx="3">
                  <c:v>33448</c:v>
                </c:pt>
                <c:pt idx="4">
                  <c:v>144747</c:v>
                </c:pt>
                <c:pt idx="5">
                  <c:v>40149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7CC-4877-9E12-FC942841011B}"/>
            </c:ext>
          </c:extLst>
        </c:ser>
        <c:ser>
          <c:idx val="3"/>
          <c:order val="3"/>
          <c:tx>
            <c:strRef>
              <c:f>Dinâmico!$E$3</c:f>
              <c:strCache>
                <c:ptCount val="1"/>
                <c:pt idx="0">
                  <c:v>T Abril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Dinâmico!$A$4:$A$10</c:f>
              <c:strCache>
                <c:ptCount val="6"/>
                <c:pt idx="0">
                  <c:v>Arroz</c:v>
                </c:pt>
                <c:pt idx="1">
                  <c:v>Feijão</c:v>
                </c:pt>
                <c:pt idx="2">
                  <c:v>Milho</c:v>
                </c:pt>
                <c:pt idx="3">
                  <c:v>Soja</c:v>
                </c:pt>
                <c:pt idx="4">
                  <c:v>Total Mensal</c:v>
                </c:pt>
                <c:pt idx="5">
                  <c:v>Trigo</c:v>
                </c:pt>
              </c:strCache>
            </c:strRef>
          </c:cat>
          <c:val>
            <c:numRef>
              <c:f>Dinâmico!$E$4:$E$10</c:f>
              <c:numCache>
                <c:formatCode>General</c:formatCode>
                <c:ptCount val="6"/>
                <c:pt idx="0">
                  <c:v>25926</c:v>
                </c:pt>
                <c:pt idx="1">
                  <c:v>15269</c:v>
                </c:pt>
                <c:pt idx="2">
                  <c:v>28597</c:v>
                </c:pt>
                <c:pt idx="3">
                  <c:v>36249</c:v>
                </c:pt>
                <c:pt idx="4">
                  <c:v>129579</c:v>
                </c:pt>
                <c:pt idx="5">
                  <c:v>23538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7CC-4877-9E12-FC942841011B}"/>
            </c:ext>
          </c:extLst>
        </c:ser>
        <c:ser>
          <c:idx val="4"/>
          <c:order val="4"/>
          <c:tx>
            <c:strRef>
              <c:f>Dinâmico!$F$3</c:f>
              <c:strCache>
                <c:ptCount val="1"/>
                <c:pt idx="0">
                  <c:v>T Maio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Dinâmico!$A$4:$A$10</c:f>
              <c:strCache>
                <c:ptCount val="6"/>
                <c:pt idx="0">
                  <c:v>Arroz</c:v>
                </c:pt>
                <c:pt idx="1">
                  <c:v>Feijão</c:v>
                </c:pt>
                <c:pt idx="2">
                  <c:v>Milho</c:v>
                </c:pt>
                <c:pt idx="3">
                  <c:v>Soja</c:v>
                </c:pt>
                <c:pt idx="4">
                  <c:v>Total Mensal</c:v>
                </c:pt>
                <c:pt idx="5">
                  <c:v>Trigo</c:v>
                </c:pt>
              </c:strCache>
            </c:strRef>
          </c:cat>
          <c:val>
            <c:numRef>
              <c:f>Dinâmico!$F$4:$F$10</c:f>
              <c:numCache>
                <c:formatCode>General</c:formatCode>
                <c:ptCount val="6"/>
                <c:pt idx="0">
                  <c:v>41547</c:v>
                </c:pt>
                <c:pt idx="1">
                  <c:v>12916</c:v>
                </c:pt>
                <c:pt idx="2">
                  <c:v>29491</c:v>
                </c:pt>
                <c:pt idx="3">
                  <c:v>18624</c:v>
                </c:pt>
                <c:pt idx="4">
                  <c:v>119861</c:v>
                </c:pt>
                <c:pt idx="5">
                  <c:v>17283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7CC-4877-9E12-FC942841011B}"/>
            </c:ext>
          </c:extLst>
        </c:ser>
        <c:ser>
          <c:idx val="5"/>
          <c:order val="5"/>
          <c:tx>
            <c:strRef>
              <c:f>Dinâmico!$G$3</c:f>
              <c:strCache>
                <c:ptCount val="1"/>
                <c:pt idx="0">
                  <c:v>T Junho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Dinâmico!$A$4:$A$10</c:f>
              <c:strCache>
                <c:ptCount val="6"/>
                <c:pt idx="0">
                  <c:v>Arroz</c:v>
                </c:pt>
                <c:pt idx="1">
                  <c:v>Feijão</c:v>
                </c:pt>
                <c:pt idx="2">
                  <c:v>Milho</c:v>
                </c:pt>
                <c:pt idx="3">
                  <c:v>Soja</c:v>
                </c:pt>
                <c:pt idx="4">
                  <c:v>Total Mensal</c:v>
                </c:pt>
                <c:pt idx="5">
                  <c:v>Trigo</c:v>
                </c:pt>
              </c:strCache>
            </c:strRef>
          </c:cat>
          <c:val>
            <c:numRef>
              <c:f>Dinâmico!$G$4:$G$10</c:f>
              <c:numCache>
                <c:formatCode>General</c:formatCode>
                <c:ptCount val="6"/>
                <c:pt idx="0">
                  <c:v>23920</c:v>
                </c:pt>
                <c:pt idx="1">
                  <c:v>18128</c:v>
                </c:pt>
                <c:pt idx="2">
                  <c:v>17801</c:v>
                </c:pt>
                <c:pt idx="3">
                  <c:v>17480</c:v>
                </c:pt>
                <c:pt idx="4">
                  <c:v>100955</c:v>
                </c:pt>
                <c:pt idx="5">
                  <c:v>23626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B-4397-BD6B-63256EA87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9498256"/>
        <c:axId val="1409485296"/>
      </c:barChart>
      <c:catAx>
        <c:axId val="140949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9485296"/>
        <c:crosses val="autoZero"/>
        <c:auto val="1"/>
        <c:lblAlgn val="ctr"/>
        <c:lblOffset val="100"/>
        <c:noMultiLvlLbl val="0"/>
      </c:catAx>
      <c:valAx>
        <c:axId val="140948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949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[Dashboard01.xlsx]Dinamico Janeiro!Tabela dinâmica36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Janeiro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'Dinamico Janeiro'!$B$1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'Dinamico Janeiro'!$A$2:$A$8</c:f>
              <c:strCache>
                <c:ptCount val="6"/>
                <c:pt idx="0">
                  <c:v>Arroz</c:v>
                </c:pt>
                <c:pt idx="1">
                  <c:v>Feijão</c:v>
                </c:pt>
                <c:pt idx="2">
                  <c:v>Milho</c:v>
                </c:pt>
                <c:pt idx="3">
                  <c:v>Soja</c:v>
                </c:pt>
                <c:pt idx="4">
                  <c:v>Total Mensal</c:v>
                </c:pt>
                <c:pt idx="5">
                  <c:v>Trigo</c:v>
                </c:pt>
              </c:strCache>
            </c:strRef>
          </c:cat>
          <c:val>
            <c:numRef>
              <c:f>'Dinamico Janeiro'!$B$2:$B$8</c:f>
              <c:numCache>
                <c:formatCode>General</c:formatCode>
                <c:ptCount val="6"/>
                <c:pt idx="0">
                  <c:v>27055</c:v>
                </c:pt>
                <c:pt idx="1">
                  <c:v>16601</c:v>
                </c:pt>
                <c:pt idx="2">
                  <c:v>27515</c:v>
                </c:pt>
                <c:pt idx="3">
                  <c:v>10978</c:v>
                </c:pt>
                <c:pt idx="4">
                  <c:v>115274</c:v>
                </c:pt>
                <c:pt idx="5">
                  <c:v>33125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1-4F60-A098-9AA7A09F1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0223008"/>
        <c:axId val="1410221568"/>
      </c:barChart>
      <c:catAx>
        <c:axId val="141022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221568"/>
        <c:crosses val="autoZero"/>
        <c:auto val="1"/>
        <c:lblAlgn val="ctr"/>
        <c:lblOffset val="100"/>
        <c:noMultiLvlLbl val="0"/>
      </c:catAx>
      <c:valAx>
        <c:axId val="141022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22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[Dashboard01.xlsx]Dinamico total!Tabela dinâmica35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'Dinamico total'!$B$1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'Dinamico total'!$A$2:$A$8</c:f>
              <c:strCache>
                <c:ptCount val="6"/>
                <c:pt idx="0">
                  <c:v>Arroz</c:v>
                </c:pt>
                <c:pt idx="1">
                  <c:v>Feijão</c:v>
                </c:pt>
                <c:pt idx="2">
                  <c:v>Milho</c:v>
                </c:pt>
                <c:pt idx="3">
                  <c:v>Soja</c:v>
                </c:pt>
                <c:pt idx="4">
                  <c:v>Total Mensal</c:v>
                </c:pt>
                <c:pt idx="5">
                  <c:v>Trigo</c:v>
                </c:pt>
              </c:strCache>
            </c:strRef>
          </c:cat>
          <c:val>
            <c:numRef>
              <c:f>'Dinamico total'!$B$2:$B$8</c:f>
              <c:numCache>
                <c:formatCode>General</c:formatCode>
                <c:ptCount val="6"/>
                <c:pt idx="0">
                  <c:v>194586</c:v>
                </c:pt>
                <c:pt idx="1">
                  <c:v>113513</c:v>
                </c:pt>
                <c:pt idx="2">
                  <c:v>144070</c:v>
                </c:pt>
                <c:pt idx="3">
                  <c:v>151464</c:v>
                </c:pt>
                <c:pt idx="5">
                  <c:v>159179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7C3-4977-95E5-731F9E09A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1577744"/>
        <c:axId val="1341586384"/>
      </c:barChart>
      <c:catAx>
        <c:axId val="134157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586384"/>
        <c:crosses val="autoZero"/>
        <c:auto val="1"/>
        <c:lblAlgn val="ctr"/>
        <c:lblOffset val="100"/>
        <c:noMultiLvlLbl val="0"/>
      </c:catAx>
      <c:valAx>
        <c:axId val="134158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577744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[Dashboard01.xlsx]Dinamico total!Tabela dinâmica35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'Dinamico total'!$B$1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'Dinamico total'!$A$2:$A$8</c:f>
              <c:strCache>
                <c:ptCount val="6"/>
                <c:pt idx="0">
                  <c:v>Arroz</c:v>
                </c:pt>
                <c:pt idx="1">
                  <c:v>Feijão</c:v>
                </c:pt>
                <c:pt idx="2">
                  <c:v>Milho</c:v>
                </c:pt>
                <c:pt idx="3">
                  <c:v>Soja</c:v>
                </c:pt>
                <c:pt idx="4">
                  <c:v>Total Mensal</c:v>
                </c:pt>
                <c:pt idx="5">
                  <c:v>Trigo</c:v>
                </c:pt>
              </c:strCache>
            </c:strRef>
          </c:cat>
          <c:val>
            <c:numRef>
              <c:f>'Dinamico total'!$B$2:$B$8</c:f>
              <c:numCache>
                <c:formatCode>General</c:formatCode>
                <c:ptCount val="6"/>
                <c:pt idx="0">
                  <c:v>194586</c:v>
                </c:pt>
                <c:pt idx="1">
                  <c:v>113513</c:v>
                </c:pt>
                <c:pt idx="2">
                  <c:v>144070</c:v>
                </c:pt>
                <c:pt idx="3">
                  <c:v>151464</c:v>
                </c:pt>
                <c:pt idx="5">
                  <c:v>159179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36-492B-9DED-7D6619E7C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577744"/>
        <c:axId val="1341586384"/>
      </c:lineChart>
      <c:catAx>
        <c:axId val="134157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586384"/>
        <c:crosses val="autoZero"/>
        <c:auto val="1"/>
        <c:lblAlgn val="ctr"/>
        <c:lblOffset val="100"/>
        <c:noMultiLvlLbl val="0"/>
      </c:catAx>
      <c:valAx>
        <c:axId val="134158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577744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[Dashboard01.xlsx]Dinamico Janeiro!Tabela dinâmica36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Janeiro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'Dinamico Janeiro'!$B$1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'Dinamico Janeiro'!$A$2:$A$8</c:f>
              <c:strCache>
                <c:ptCount val="6"/>
                <c:pt idx="0">
                  <c:v>Arroz</c:v>
                </c:pt>
                <c:pt idx="1">
                  <c:v>Feijão</c:v>
                </c:pt>
                <c:pt idx="2">
                  <c:v>Milho</c:v>
                </c:pt>
                <c:pt idx="3">
                  <c:v>Soja</c:v>
                </c:pt>
                <c:pt idx="4">
                  <c:v>Total Mensal</c:v>
                </c:pt>
                <c:pt idx="5">
                  <c:v>Trigo</c:v>
                </c:pt>
              </c:strCache>
            </c:strRef>
          </c:cat>
          <c:val>
            <c:numRef>
              <c:f>'Dinamico Janeiro'!$B$2:$B$8</c:f>
              <c:numCache>
                <c:formatCode>General</c:formatCode>
                <c:ptCount val="6"/>
                <c:pt idx="0">
                  <c:v>27055</c:v>
                </c:pt>
                <c:pt idx="1">
                  <c:v>16601</c:v>
                </c:pt>
                <c:pt idx="2">
                  <c:v>27515</c:v>
                </c:pt>
                <c:pt idx="3">
                  <c:v>10978</c:v>
                </c:pt>
                <c:pt idx="4">
                  <c:v>115274</c:v>
                </c:pt>
                <c:pt idx="5">
                  <c:v>33125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1-4CE0-92A6-37CA54F6D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0223008"/>
        <c:axId val="1410221568"/>
      </c:barChart>
      <c:catAx>
        <c:axId val="141022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221568"/>
        <c:crosses val="autoZero"/>
        <c:auto val="1"/>
        <c:lblAlgn val="ctr"/>
        <c:lblOffset val="100"/>
        <c:noMultiLvlLbl val="0"/>
      </c:catAx>
      <c:valAx>
        <c:axId val="141022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22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[Dashboard01.xlsx]Dinâmico!Tabela dinâmica37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Dinâmico!$B$3</c:f>
              <c:strCache>
                <c:ptCount val="1"/>
                <c:pt idx="0">
                  <c:v>T Janeiro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Dinâmico!$A$4:$A$10</c:f>
              <c:strCache>
                <c:ptCount val="6"/>
                <c:pt idx="0">
                  <c:v>Arroz</c:v>
                </c:pt>
                <c:pt idx="1">
                  <c:v>Feijão</c:v>
                </c:pt>
                <c:pt idx="2">
                  <c:v>Milho</c:v>
                </c:pt>
                <c:pt idx="3">
                  <c:v>Soja</c:v>
                </c:pt>
                <c:pt idx="4">
                  <c:v>Total Mensal</c:v>
                </c:pt>
                <c:pt idx="5">
                  <c:v>Trigo</c:v>
                </c:pt>
              </c:strCache>
            </c:strRef>
          </c:cat>
          <c:val>
            <c:numRef>
              <c:f>Dinâmico!$B$4:$B$10</c:f>
              <c:numCache>
                <c:formatCode>General</c:formatCode>
                <c:ptCount val="6"/>
                <c:pt idx="0">
                  <c:v>27055</c:v>
                </c:pt>
                <c:pt idx="1">
                  <c:v>16601</c:v>
                </c:pt>
                <c:pt idx="2">
                  <c:v>27515</c:v>
                </c:pt>
                <c:pt idx="3">
                  <c:v>10978</c:v>
                </c:pt>
                <c:pt idx="4">
                  <c:v>115274</c:v>
                </c:pt>
                <c:pt idx="5">
                  <c:v>33125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E-4778-9DDE-71E49EA3C3A4}"/>
            </c:ext>
          </c:extLst>
        </c:ser>
        <c:ser>
          <c:idx val="1"/>
          <c:order val="1"/>
          <c:tx>
            <c:strRef>
              <c:f>Dinâmico!$C$3</c:f>
              <c:strCache>
                <c:ptCount val="1"/>
                <c:pt idx="0">
                  <c:v>T Fevereiro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Dinâmico!$A$4:$A$10</c:f>
              <c:strCache>
                <c:ptCount val="6"/>
                <c:pt idx="0">
                  <c:v>Arroz</c:v>
                </c:pt>
                <c:pt idx="1">
                  <c:v>Feijão</c:v>
                </c:pt>
                <c:pt idx="2">
                  <c:v>Milho</c:v>
                </c:pt>
                <c:pt idx="3">
                  <c:v>Soja</c:v>
                </c:pt>
                <c:pt idx="4">
                  <c:v>Total Mensal</c:v>
                </c:pt>
                <c:pt idx="5">
                  <c:v>Trigo</c:v>
                </c:pt>
              </c:strCache>
            </c:strRef>
          </c:cat>
          <c:val>
            <c:numRef>
              <c:f>Dinâmico!$C$4:$C$10</c:f>
              <c:numCache>
                <c:formatCode>General</c:formatCode>
                <c:ptCount val="6"/>
                <c:pt idx="0">
                  <c:v>39004</c:v>
                </c:pt>
                <c:pt idx="1">
                  <c:v>40283</c:v>
                </c:pt>
                <c:pt idx="2">
                  <c:v>16966</c:v>
                </c:pt>
                <c:pt idx="3">
                  <c:v>34685</c:v>
                </c:pt>
                <c:pt idx="4">
                  <c:v>152396</c:v>
                </c:pt>
                <c:pt idx="5">
                  <c:v>21458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3E-4778-9DDE-71E49EA3C3A4}"/>
            </c:ext>
          </c:extLst>
        </c:ser>
        <c:ser>
          <c:idx val="2"/>
          <c:order val="2"/>
          <c:tx>
            <c:strRef>
              <c:f>Dinâmico!$D$3</c:f>
              <c:strCache>
                <c:ptCount val="1"/>
                <c:pt idx="0">
                  <c:v>T Março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Dinâmico!$A$4:$A$10</c:f>
              <c:strCache>
                <c:ptCount val="6"/>
                <c:pt idx="0">
                  <c:v>Arroz</c:v>
                </c:pt>
                <c:pt idx="1">
                  <c:v>Feijão</c:v>
                </c:pt>
                <c:pt idx="2">
                  <c:v>Milho</c:v>
                </c:pt>
                <c:pt idx="3">
                  <c:v>Soja</c:v>
                </c:pt>
                <c:pt idx="4">
                  <c:v>Total Mensal</c:v>
                </c:pt>
                <c:pt idx="5">
                  <c:v>Trigo</c:v>
                </c:pt>
              </c:strCache>
            </c:strRef>
          </c:cat>
          <c:val>
            <c:numRef>
              <c:f>Dinâmico!$D$4:$D$10</c:f>
              <c:numCache>
                <c:formatCode>General</c:formatCode>
                <c:ptCount val="6"/>
                <c:pt idx="0">
                  <c:v>37134</c:v>
                </c:pt>
                <c:pt idx="1">
                  <c:v>10316</c:v>
                </c:pt>
                <c:pt idx="2">
                  <c:v>23700</c:v>
                </c:pt>
                <c:pt idx="3">
                  <c:v>33448</c:v>
                </c:pt>
                <c:pt idx="4">
                  <c:v>144747</c:v>
                </c:pt>
                <c:pt idx="5">
                  <c:v>40149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3E-4778-9DDE-71E49EA3C3A4}"/>
            </c:ext>
          </c:extLst>
        </c:ser>
        <c:ser>
          <c:idx val="3"/>
          <c:order val="3"/>
          <c:tx>
            <c:strRef>
              <c:f>Dinâmico!$E$3</c:f>
              <c:strCache>
                <c:ptCount val="1"/>
                <c:pt idx="0">
                  <c:v>T Abril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Dinâmico!$A$4:$A$10</c:f>
              <c:strCache>
                <c:ptCount val="6"/>
                <c:pt idx="0">
                  <c:v>Arroz</c:v>
                </c:pt>
                <c:pt idx="1">
                  <c:v>Feijão</c:v>
                </c:pt>
                <c:pt idx="2">
                  <c:v>Milho</c:v>
                </c:pt>
                <c:pt idx="3">
                  <c:v>Soja</c:v>
                </c:pt>
                <c:pt idx="4">
                  <c:v>Total Mensal</c:v>
                </c:pt>
                <c:pt idx="5">
                  <c:v>Trigo</c:v>
                </c:pt>
              </c:strCache>
            </c:strRef>
          </c:cat>
          <c:val>
            <c:numRef>
              <c:f>Dinâmico!$E$4:$E$10</c:f>
              <c:numCache>
                <c:formatCode>General</c:formatCode>
                <c:ptCount val="6"/>
                <c:pt idx="0">
                  <c:v>25926</c:v>
                </c:pt>
                <c:pt idx="1">
                  <c:v>15269</c:v>
                </c:pt>
                <c:pt idx="2">
                  <c:v>28597</c:v>
                </c:pt>
                <c:pt idx="3">
                  <c:v>36249</c:v>
                </c:pt>
                <c:pt idx="4">
                  <c:v>129579</c:v>
                </c:pt>
                <c:pt idx="5">
                  <c:v>23538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3E-4778-9DDE-71E49EA3C3A4}"/>
            </c:ext>
          </c:extLst>
        </c:ser>
        <c:ser>
          <c:idx val="4"/>
          <c:order val="4"/>
          <c:tx>
            <c:strRef>
              <c:f>Dinâmico!$F$3</c:f>
              <c:strCache>
                <c:ptCount val="1"/>
                <c:pt idx="0">
                  <c:v>T Maio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Dinâmico!$A$4:$A$10</c:f>
              <c:strCache>
                <c:ptCount val="6"/>
                <c:pt idx="0">
                  <c:v>Arroz</c:v>
                </c:pt>
                <c:pt idx="1">
                  <c:v>Feijão</c:v>
                </c:pt>
                <c:pt idx="2">
                  <c:v>Milho</c:v>
                </c:pt>
                <c:pt idx="3">
                  <c:v>Soja</c:v>
                </c:pt>
                <c:pt idx="4">
                  <c:v>Total Mensal</c:v>
                </c:pt>
                <c:pt idx="5">
                  <c:v>Trigo</c:v>
                </c:pt>
              </c:strCache>
            </c:strRef>
          </c:cat>
          <c:val>
            <c:numRef>
              <c:f>Dinâmico!$F$4:$F$10</c:f>
              <c:numCache>
                <c:formatCode>General</c:formatCode>
                <c:ptCount val="6"/>
                <c:pt idx="0">
                  <c:v>41547</c:v>
                </c:pt>
                <c:pt idx="1">
                  <c:v>12916</c:v>
                </c:pt>
                <c:pt idx="2">
                  <c:v>29491</c:v>
                </c:pt>
                <c:pt idx="3">
                  <c:v>18624</c:v>
                </c:pt>
                <c:pt idx="4">
                  <c:v>119861</c:v>
                </c:pt>
                <c:pt idx="5">
                  <c:v>17283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3E-4778-9DDE-71E49EA3C3A4}"/>
            </c:ext>
          </c:extLst>
        </c:ser>
        <c:ser>
          <c:idx val="5"/>
          <c:order val="5"/>
          <c:tx>
            <c:strRef>
              <c:f>Dinâmico!$G$3</c:f>
              <c:strCache>
                <c:ptCount val="1"/>
                <c:pt idx="0">
                  <c:v>T Junho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Dinâmico!$A$4:$A$10</c:f>
              <c:strCache>
                <c:ptCount val="6"/>
                <c:pt idx="0">
                  <c:v>Arroz</c:v>
                </c:pt>
                <c:pt idx="1">
                  <c:v>Feijão</c:v>
                </c:pt>
                <c:pt idx="2">
                  <c:v>Milho</c:v>
                </c:pt>
                <c:pt idx="3">
                  <c:v>Soja</c:v>
                </c:pt>
                <c:pt idx="4">
                  <c:v>Total Mensal</c:v>
                </c:pt>
                <c:pt idx="5">
                  <c:v>Trigo</c:v>
                </c:pt>
              </c:strCache>
            </c:strRef>
          </c:cat>
          <c:val>
            <c:numRef>
              <c:f>Dinâmico!$G$4:$G$10</c:f>
              <c:numCache>
                <c:formatCode>General</c:formatCode>
                <c:ptCount val="6"/>
                <c:pt idx="0">
                  <c:v>23920</c:v>
                </c:pt>
                <c:pt idx="1">
                  <c:v>18128</c:v>
                </c:pt>
                <c:pt idx="2">
                  <c:v>17801</c:v>
                </c:pt>
                <c:pt idx="3">
                  <c:v>17480</c:v>
                </c:pt>
                <c:pt idx="4">
                  <c:v>100955</c:v>
                </c:pt>
                <c:pt idx="5">
                  <c:v>23626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81-4898-83D3-54639C361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9498256"/>
        <c:axId val="1409485296"/>
      </c:barChart>
      <c:catAx>
        <c:axId val="140949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9485296"/>
        <c:crosses val="autoZero"/>
        <c:auto val="1"/>
        <c:lblAlgn val="ctr"/>
        <c:lblOffset val="100"/>
        <c:noMultiLvlLbl val="0"/>
      </c:catAx>
      <c:valAx>
        <c:axId val="140948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949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44853</xdr:colOff>
      <xdr:row>8</xdr:row>
      <xdr:rowOff>58280</xdr:rowOff>
    </xdr:from>
    <xdr:to>
      <xdr:col>6</xdr:col>
      <xdr:colOff>23197</xdr:colOff>
      <xdr:row>19</xdr:row>
      <xdr:rowOff>21965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1B064BB-9300-7F2A-C3BF-85D111B6C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105926</xdr:colOff>
      <xdr:row>8</xdr:row>
      <xdr:rowOff>57068</xdr:rowOff>
    </xdr:from>
    <xdr:to>
      <xdr:col>11</xdr:col>
      <xdr:colOff>291704</xdr:colOff>
      <xdr:row>19</xdr:row>
      <xdr:rowOff>3489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EDA2BEF-39BE-C2E1-813E-DBFFDCEF2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376280</xdr:colOff>
      <xdr:row>8</xdr:row>
      <xdr:rowOff>74311</xdr:rowOff>
    </xdr:from>
    <xdr:to>
      <xdr:col>16</xdr:col>
      <xdr:colOff>532086</xdr:colOff>
      <xdr:row>18</xdr:row>
      <xdr:rowOff>173935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17D4A6E-257F-F9F7-28C7-525D7948B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111672</xdr:colOff>
      <xdr:row>19</xdr:row>
      <xdr:rowOff>89995</xdr:rowOff>
    </xdr:from>
    <xdr:to>
      <xdr:col>11</xdr:col>
      <xdr:colOff>269328</xdr:colOff>
      <xdr:row>30</xdr:row>
      <xdr:rowOff>32845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1C6A5F4-5086-8863-1220-D3870CC14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374431</xdr:colOff>
      <xdr:row>19</xdr:row>
      <xdr:rowOff>91966</xdr:rowOff>
    </xdr:from>
    <xdr:to>
      <xdr:col>16</xdr:col>
      <xdr:colOff>505811</xdr:colOff>
      <xdr:row>30</xdr:row>
      <xdr:rowOff>32845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A649630-9872-5634-05D4-78D22B152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54953</xdr:colOff>
      <xdr:row>19</xdr:row>
      <xdr:rowOff>95250</xdr:rowOff>
    </xdr:from>
    <xdr:to>
      <xdr:col>6</xdr:col>
      <xdr:colOff>29308</xdr:colOff>
      <xdr:row>30</xdr:row>
      <xdr:rowOff>36635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2C68BE7-3014-C224-AA93-F62E3406B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96925</xdr:colOff>
      <xdr:row>10</xdr:row>
      <xdr:rowOff>20723</xdr:rowOff>
    </xdr:from>
    <xdr:to>
      <xdr:col>7</xdr:col>
      <xdr:colOff>249115</xdr:colOff>
      <xdr:row>20</xdr:row>
      <xdr:rowOff>51288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942DDE1-7269-BA39-E22A-F19D4FF26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318722</xdr:colOff>
      <xdr:row>10</xdr:row>
      <xdr:rowOff>27842</xdr:rowOff>
    </xdr:from>
    <xdr:to>
      <xdr:col>12</xdr:col>
      <xdr:colOff>490905</xdr:colOff>
      <xdr:row>20</xdr:row>
      <xdr:rowOff>51288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8C44000-BEDE-D0C9-6834-CBA837206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567837</xdr:colOff>
      <xdr:row>10</xdr:row>
      <xdr:rowOff>35169</xdr:rowOff>
    </xdr:from>
    <xdr:to>
      <xdr:col>19</xdr:col>
      <xdr:colOff>36634</xdr:colOff>
      <xdr:row>20</xdr:row>
      <xdr:rowOff>51288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8672621-A217-1A16-1016-27C8D3BF8B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54952</xdr:colOff>
      <xdr:row>0</xdr:row>
      <xdr:rowOff>58615</xdr:rowOff>
    </xdr:from>
    <xdr:to>
      <xdr:col>13</xdr:col>
      <xdr:colOff>366346</xdr:colOff>
      <xdr:row>9</xdr:row>
      <xdr:rowOff>95250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1172F24-D0B5-99F1-CDD8-D8DB19C1E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450607</xdr:colOff>
      <xdr:row>0</xdr:row>
      <xdr:rowOff>64478</xdr:rowOff>
    </xdr:from>
    <xdr:to>
      <xdr:col>19</xdr:col>
      <xdr:colOff>285751</xdr:colOff>
      <xdr:row>9</xdr:row>
      <xdr:rowOff>109904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862BFE47-9D3B-30D5-A427-8C267B65C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69273</xdr:colOff>
      <xdr:row>8</xdr:row>
      <xdr:rowOff>60614</xdr:rowOff>
    </xdr:from>
    <xdr:to>
      <xdr:col>5</xdr:col>
      <xdr:colOff>567170</xdr:colOff>
      <xdr:row>19</xdr:row>
      <xdr:rowOff>147205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3542AD1-FE11-217C-325F-87909E580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25977</xdr:colOff>
      <xdr:row>8</xdr:row>
      <xdr:rowOff>60613</xdr:rowOff>
    </xdr:from>
    <xdr:to>
      <xdr:col>11</xdr:col>
      <xdr:colOff>307398</xdr:colOff>
      <xdr:row>19</xdr:row>
      <xdr:rowOff>155864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32CA753-01B3-E186-3097-15F45CF22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2</xdr:row>
      <xdr:rowOff>0</xdr:rowOff>
    </xdr:from>
    <xdr:to>
      <xdr:col>14</xdr:col>
      <xdr:colOff>28575</xdr:colOff>
      <xdr:row>16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AD45AE-C12C-7D77-A399-445671ECC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0</xdr:row>
      <xdr:rowOff>47625</xdr:rowOff>
    </xdr:from>
    <xdr:to>
      <xdr:col>9</xdr:col>
      <xdr:colOff>438150</xdr:colOff>
      <xdr:row>14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062405-ECB5-FFCA-63F9-8A5A7AD5A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0</xdr:row>
      <xdr:rowOff>0</xdr:rowOff>
    </xdr:from>
    <xdr:to>
      <xdr:col>7</xdr:col>
      <xdr:colOff>228600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7CFBD4-3EE0-0F46-C9E7-B0A31E86E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11</xdr:col>
      <xdr:colOff>381000</xdr:colOff>
      <xdr:row>16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D5917E-790C-449F-BD8F-D1F45BB4A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504825</xdr:colOff>
      <xdr:row>1</xdr:row>
      <xdr:rowOff>180975</xdr:rowOff>
    </xdr:from>
    <xdr:to>
      <xdr:col>21</xdr:col>
      <xdr:colOff>19050</xdr:colOff>
      <xdr:row>16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1FFC865-89C7-4A1B-8591-1359BDFA3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600075</xdr:colOff>
      <xdr:row>17</xdr:row>
      <xdr:rowOff>28575</xdr:rowOff>
    </xdr:from>
    <xdr:to>
      <xdr:col>11</xdr:col>
      <xdr:colOff>371475</xdr:colOff>
      <xdr:row>31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C990768-326E-421D-B56B-1F178356D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466725</xdr:colOff>
      <xdr:row>18</xdr:row>
      <xdr:rowOff>19050</xdr:rowOff>
    </xdr:from>
    <xdr:to>
      <xdr:col>18</xdr:col>
      <xdr:colOff>76201</xdr:colOff>
      <xdr:row>29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Produto">
              <a:extLst>
                <a:ext uri="{FF2B5EF4-FFF2-40B4-BE49-F238E27FC236}">
                  <a16:creationId xmlns:a16="http://schemas.microsoft.com/office/drawing/2014/main" id="{B2FD4C8B-BAC5-68A6-8EE2-27D40D085E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01125" y="3848100"/>
              <a:ext cx="2047876" cy="2190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fessor" refreshedDate="45759.402488888889" createdVersion="8" refreshedVersion="8" minRefreshableVersion="3" recordCount="6" xr:uid="{6D928AE6-AF83-4E8D-BD7A-8BC17FEB68E7}">
  <cacheSource type="worksheet">
    <worksheetSource ref="A2:H8" sheet="Total"/>
  </cacheSource>
  <cacheFields count="8">
    <cacheField name="Produto" numFmtId="0">
      <sharedItems count="6">
        <s v="Soja"/>
        <s v="Milho"/>
        <s v="Arroz"/>
        <s v="Feijão"/>
        <s v="Trigo"/>
        <s v="Total Mensal"/>
      </sharedItems>
    </cacheField>
    <cacheField name="Janeiro" numFmtId="0">
      <sharedItems containsSemiMixedTypes="0" containsString="0" containsNumber="1" containsInteger="1" minValue="10978" maxValue="115274" count="6">
        <n v="10978"/>
        <n v="27515"/>
        <n v="27055"/>
        <n v="16601"/>
        <n v="33125"/>
        <n v="115274"/>
      </sharedItems>
    </cacheField>
    <cacheField name="Fevereiro" numFmtId="0">
      <sharedItems containsSemiMixedTypes="0" containsString="0" containsNumber="1" containsInteger="1" minValue="16966" maxValue="152396" count="6">
        <n v="34685"/>
        <n v="16966"/>
        <n v="39004"/>
        <n v="40283"/>
        <n v="21458"/>
        <n v="152396"/>
      </sharedItems>
    </cacheField>
    <cacheField name="Março" numFmtId="0">
      <sharedItems containsSemiMixedTypes="0" containsString="0" containsNumber="1" containsInteger="1" minValue="10316" maxValue="144747" count="6">
        <n v="33448"/>
        <n v="23700"/>
        <n v="37134"/>
        <n v="10316"/>
        <n v="40149"/>
        <n v="144747"/>
      </sharedItems>
    </cacheField>
    <cacheField name="Abril" numFmtId="0">
      <sharedItems containsSemiMixedTypes="0" containsString="0" containsNumber="1" containsInteger="1" minValue="15269" maxValue="129579" count="6">
        <n v="36249"/>
        <n v="28597"/>
        <n v="25926"/>
        <n v="15269"/>
        <n v="23538"/>
        <n v="129579"/>
      </sharedItems>
    </cacheField>
    <cacheField name="Maio" numFmtId="0">
      <sharedItems containsSemiMixedTypes="0" containsString="0" containsNumber="1" containsInteger="1" minValue="12916" maxValue="119861" count="6">
        <n v="18624"/>
        <n v="29491"/>
        <n v="41547"/>
        <n v="12916"/>
        <n v="17283"/>
        <n v="119861"/>
      </sharedItems>
    </cacheField>
    <cacheField name="Junho" numFmtId="0">
      <sharedItems containsSemiMixedTypes="0" containsString="0" containsNumber="1" containsInteger="1" minValue="17480" maxValue="100955" count="6">
        <n v="17480"/>
        <n v="17801"/>
        <n v="23920"/>
        <n v="18128"/>
        <n v="23626"/>
        <n v="100955"/>
      </sharedItems>
    </cacheField>
    <cacheField name="Total Semestral" numFmtId="0">
      <sharedItems containsString="0" containsBlank="1" containsNumber="1" containsInteger="1" minValue="113513" maxValue="194586" count="6">
        <n v="151464"/>
        <n v="144070"/>
        <n v="194586"/>
        <n v="113513"/>
        <n v="159179"/>
        <m/>
      </sharedItems>
    </cacheField>
  </cacheFields>
  <extLst>
    <ext xmlns:x14="http://schemas.microsoft.com/office/spreadsheetml/2009/9/main" uri="{725AE2AE-9491-48be-B2B4-4EB974FC3084}">
      <x14:pivotCacheDefinition pivotCacheId="18948164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x v="0"/>
    <x v="0"/>
    <x v="0"/>
    <x v="0"/>
    <x v="0"/>
    <x v="0"/>
  </r>
  <r>
    <x v="1"/>
    <x v="1"/>
    <x v="1"/>
    <x v="1"/>
    <x v="1"/>
    <x v="1"/>
    <x v="1"/>
    <x v="1"/>
  </r>
  <r>
    <x v="2"/>
    <x v="2"/>
    <x v="2"/>
    <x v="2"/>
    <x v="2"/>
    <x v="2"/>
    <x v="2"/>
    <x v="2"/>
  </r>
  <r>
    <x v="3"/>
    <x v="3"/>
    <x v="3"/>
    <x v="3"/>
    <x v="3"/>
    <x v="3"/>
    <x v="3"/>
    <x v="3"/>
  </r>
  <r>
    <x v="4"/>
    <x v="4"/>
    <x v="4"/>
    <x v="4"/>
    <x v="4"/>
    <x v="4"/>
    <x v="4"/>
    <x v="4"/>
  </r>
  <r>
    <x v="5"/>
    <x v="5"/>
    <x v="5"/>
    <x v="5"/>
    <x v="5"/>
    <x v="5"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20E51-6851-46FB-908D-50C2FFFEE978}" name="Tabela dinâmica3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G10" firstHeaderRow="0" firstDataRow="1" firstDataCol="1"/>
  <pivotFields count="8">
    <pivotField axis="axisRow" showAll="0">
      <items count="7">
        <item x="2"/>
        <item x="3"/>
        <item x="1"/>
        <item x="0"/>
        <item x="5"/>
        <item x="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 Janeiro" fld="1" baseField="0" baseItem="0"/>
    <dataField name="T Fevereiro" fld="2" baseField="0" baseItem="0"/>
    <dataField name="T Março" fld="3" baseField="0" baseItem="0"/>
    <dataField name="T Abril" fld="4" baseField="0" baseItem="0"/>
    <dataField name="T Maio" fld="5" baseField="0" baseItem="0"/>
    <dataField name="T Junho" fld="6" baseField="0" baseItem="0"/>
  </dataFields>
  <chartFormats count="12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2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2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4D94D2-F026-4C8E-932C-47B209CE1226}" name="Tabela dinâmica3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:B8" firstHeaderRow="1" firstDataRow="1" firstDataCol="1"/>
  <pivotFields count="8">
    <pivotField axis="axisRow" showAll="0">
      <items count="7">
        <item x="2"/>
        <item x="3"/>
        <item x="1"/>
        <item x="0"/>
        <item x="5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7">
        <item x="3"/>
        <item x="1"/>
        <item x="0"/>
        <item x="4"/>
        <item x="2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Janeiro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B93FA-5A3E-4770-B776-2FB1C356E6B6}" name="Tabela dinâmica3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1:B8" firstHeaderRow="1" firstDataRow="1" firstDataCol="1"/>
  <pivotFields count="8">
    <pivotField axis="axisRow" showAll="0">
      <items count="7">
        <item x="2"/>
        <item x="3"/>
        <item x="1"/>
        <item x="0"/>
        <item x="5"/>
        <item x="4"/>
        <item t="default"/>
      </items>
    </pivotField>
    <pivotField showAll="0">
      <items count="7">
        <item x="0"/>
        <item x="3"/>
        <item x="2"/>
        <item x="1"/>
        <item x="4"/>
        <item x="5"/>
        <item t="default"/>
      </items>
    </pivotField>
    <pivotField showAll="0">
      <items count="7">
        <item x="1"/>
        <item x="4"/>
        <item x="0"/>
        <item x="2"/>
        <item x="3"/>
        <item x="5"/>
        <item t="default"/>
      </items>
    </pivotField>
    <pivotField showAll="0">
      <items count="7">
        <item x="3"/>
        <item x="1"/>
        <item x="0"/>
        <item x="2"/>
        <item x="4"/>
        <item x="5"/>
        <item t="default"/>
      </items>
    </pivotField>
    <pivotField showAll="0">
      <items count="7">
        <item x="3"/>
        <item x="4"/>
        <item x="2"/>
        <item x="1"/>
        <item x="0"/>
        <item x="5"/>
        <item t="default"/>
      </items>
    </pivotField>
    <pivotField showAll="0">
      <items count="7">
        <item x="3"/>
        <item x="4"/>
        <item x="0"/>
        <item x="1"/>
        <item x="2"/>
        <item x="5"/>
        <item t="default"/>
      </items>
    </pivotField>
    <pivotField showAll="0">
      <items count="7">
        <item x="0"/>
        <item x="1"/>
        <item x="3"/>
        <item x="4"/>
        <item x="2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Total Semestral" fld="7" baseField="0" baseItem="0"/>
  </dataFields>
  <chartFormats count="2">
    <chartFormat chart="0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4B50A276-F489-474A-9350-ECFB30B8DEE6}" sourceName="Produto">
  <pivotTables>
    <pivotTable tabId="8" name="Tabela dinâmica35"/>
    <pivotTable tabId="10" name="Tabela dinâmica37"/>
    <pivotTable tabId="9" name="Tabela dinâmica36"/>
  </pivotTables>
  <data>
    <tabular pivotCacheId="1894816411">
      <items count="6">
        <i x="2" s="1"/>
        <i x="3" s="1"/>
        <i x="1" s="1"/>
        <i x="0" s="1"/>
        <i x="5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" xr10:uid="{A5DE94A9-DE57-4AC3-B9FA-6AC50E739079}" cache="SegmentaçãodeDados_Produto" caption="Produto" rowHeight="257175"/>
</slicers>
</file>

<file path=xl/theme/theme1.xml><?xml version="1.0" encoding="utf-8"?>
<a:theme xmlns:a="http://schemas.openxmlformats.org/drawingml/2006/main" name="Tema do Office">
  <a:themeElements>
    <a:clrScheme name="Violeta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DCF6-5809-4E89-8D24-8B9EDB536F0D}">
  <dimension ref="A1:H8"/>
  <sheetViews>
    <sheetView showGridLines="0" showRowColHeaders="0" zoomScale="115" zoomScaleNormal="115" workbookViewId="0">
      <selection activeCell="L35" sqref="L35"/>
    </sheetView>
  </sheetViews>
  <sheetFormatPr defaultRowHeight="15" x14ac:dyDescent="0.25"/>
  <cols>
    <col min="1" max="1" width="12.28515625" bestFit="1" customWidth="1"/>
    <col min="2" max="2" width="7.42578125" bestFit="1" customWidth="1"/>
    <col min="3" max="3" width="9" bestFit="1" customWidth="1"/>
    <col min="4" max="7" width="6.7109375" bestFit="1" customWidth="1"/>
    <col min="8" max="8" width="14.7109375" bestFit="1" customWidth="1"/>
  </cols>
  <sheetData>
    <row r="1" spans="1:8" x14ac:dyDescent="0.25">
      <c r="A1" s="3" t="s">
        <v>14</v>
      </c>
      <c r="B1" s="3"/>
      <c r="C1" s="3"/>
      <c r="D1" s="3"/>
      <c r="E1" s="3"/>
      <c r="F1" s="3"/>
      <c r="G1" s="3"/>
      <c r="H1" s="3"/>
    </row>
    <row r="2" spans="1:8" x14ac:dyDescent="0.25">
      <c r="A2" t="s">
        <v>13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12</v>
      </c>
    </row>
    <row r="3" spans="1:8" x14ac:dyDescent="0.25">
      <c r="A3" t="s">
        <v>6</v>
      </c>
      <c r="B3">
        <v>10978</v>
      </c>
      <c r="C3">
        <v>34685</v>
      </c>
      <c r="D3">
        <v>33448</v>
      </c>
      <c r="E3">
        <v>36249</v>
      </c>
      <c r="F3">
        <v>18624</v>
      </c>
      <c r="G3">
        <v>17480</v>
      </c>
    </row>
    <row r="4" spans="1:8" x14ac:dyDescent="0.25">
      <c r="A4" t="s">
        <v>7</v>
      </c>
      <c r="B4">
        <v>27515</v>
      </c>
      <c r="C4">
        <v>16966</v>
      </c>
      <c r="D4">
        <v>23700</v>
      </c>
      <c r="E4">
        <v>28597</v>
      </c>
      <c r="F4">
        <v>29491</v>
      </c>
      <c r="G4">
        <v>17801</v>
      </c>
    </row>
    <row r="5" spans="1:8" x14ac:dyDescent="0.25">
      <c r="A5" t="s">
        <v>8</v>
      </c>
      <c r="B5">
        <v>27055</v>
      </c>
      <c r="C5">
        <v>39004</v>
      </c>
      <c r="D5">
        <v>37134</v>
      </c>
      <c r="E5">
        <v>25926</v>
      </c>
      <c r="F5">
        <v>41547</v>
      </c>
      <c r="G5">
        <v>23920</v>
      </c>
    </row>
    <row r="6" spans="1:8" x14ac:dyDescent="0.25">
      <c r="A6" t="s">
        <v>9</v>
      </c>
      <c r="B6">
        <v>16601</v>
      </c>
      <c r="C6">
        <v>40283</v>
      </c>
      <c r="D6">
        <v>10316</v>
      </c>
      <c r="E6">
        <v>15269</v>
      </c>
      <c r="F6">
        <v>12916</v>
      </c>
      <c r="G6">
        <v>18128</v>
      </c>
    </row>
    <row r="7" spans="1:8" x14ac:dyDescent="0.25">
      <c r="A7" t="s">
        <v>10</v>
      </c>
      <c r="B7">
        <v>33125</v>
      </c>
      <c r="C7">
        <v>21458</v>
      </c>
      <c r="D7">
        <v>40149</v>
      </c>
      <c r="E7">
        <v>23538</v>
      </c>
      <c r="F7">
        <v>17283</v>
      </c>
      <c r="G7">
        <v>23626</v>
      </c>
    </row>
    <row r="8" spans="1:8" x14ac:dyDescent="0.25">
      <c r="A8" t="s">
        <v>11</v>
      </c>
    </row>
  </sheetData>
  <mergeCells count="1">
    <mergeCell ref="A1:H1"/>
  </mergeCells>
  <phoneticPr fontId="2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AAE25-F5A0-437E-B4EB-8E03826CB3DF}">
  <dimension ref="A1:H8"/>
  <sheetViews>
    <sheetView showGridLines="0" showRowColHeaders="0" zoomScale="115" zoomScaleNormal="115" workbookViewId="0">
      <selection activeCell="D31" sqref="D31"/>
    </sheetView>
  </sheetViews>
  <sheetFormatPr defaultRowHeight="15" x14ac:dyDescent="0.25"/>
  <cols>
    <col min="1" max="1" width="12.28515625" bestFit="1" customWidth="1"/>
    <col min="2" max="2" width="7.42578125" bestFit="1" customWidth="1"/>
    <col min="3" max="3" width="9" bestFit="1" customWidth="1"/>
    <col min="4" max="7" width="6.7109375" bestFit="1" customWidth="1"/>
    <col min="8" max="8" width="14.7109375" bestFit="1" customWidth="1"/>
  </cols>
  <sheetData>
    <row r="1" spans="1:8" x14ac:dyDescent="0.25">
      <c r="A1" s="3" t="s">
        <v>14</v>
      </c>
      <c r="B1" s="3"/>
      <c r="C1" s="3"/>
      <c r="D1" s="3"/>
      <c r="E1" s="3"/>
      <c r="F1" s="3"/>
      <c r="G1" s="3"/>
      <c r="H1" s="3"/>
    </row>
    <row r="2" spans="1:8" x14ac:dyDescent="0.25">
      <c r="A2" t="s">
        <v>13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12</v>
      </c>
    </row>
    <row r="3" spans="1:8" x14ac:dyDescent="0.25">
      <c r="A3" t="s">
        <v>6</v>
      </c>
      <c r="B3">
        <v>10978</v>
      </c>
      <c r="C3">
        <v>34685</v>
      </c>
      <c r="D3">
        <v>33448</v>
      </c>
      <c r="E3">
        <v>36249</v>
      </c>
      <c r="F3">
        <v>18624</v>
      </c>
      <c r="G3">
        <v>17480</v>
      </c>
    </row>
    <row r="4" spans="1:8" x14ac:dyDescent="0.25">
      <c r="A4" t="s">
        <v>7</v>
      </c>
      <c r="B4">
        <v>27515</v>
      </c>
      <c r="C4">
        <v>16966</v>
      </c>
      <c r="D4">
        <v>23700</v>
      </c>
      <c r="E4">
        <v>28597</v>
      </c>
      <c r="F4">
        <v>29491</v>
      </c>
      <c r="G4">
        <v>17801</v>
      </c>
    </row>
    <row r="5" spans="1:8" x14ac:dyDescent="0.25">
      <c r="A5" t="s">
        <v>8</v>
      </c>
      <c r="B5">
        <v>27055</v>
      </c>
      <c r="C5">
        <v>39004</v>
      </c>
      <c r="D5">
        <v>37134</v>
      </c>
      <c r="E5">
        <v>25926</v>
      </c>
      <c r="F5">
        <v>41547</v>
      </c>
      <c r="G5">
        <v>23920</v>
      </c>
    </row>
    <row r="6" spans="1:8" x14ac:dyDescent="0.25">
      <c r="A6" t="s">
        <v>9</v>
      </c>
      <c r="B6">
        <v>16601</v>
      </c>
      <c r="C6">
        <v>40283</v>
      </c>
      <c r="D6">
        <v>10316</v>
      </c>
      <c r="E6">
        <v>15269</v>
      </c>
      <c r="F6">
        <v>12916</v>
      </c>
      <c r="G6">
        <v>18128</v>
      </c>
    </row>
    <row r="7" spans="1:8" x14ac:dyDescent="0.25">
      <c r="A7" t="s">
        <v>10</v>
      </c>
      <c r="B7">
        <v>33125</v>
      </c>
      <c r="C7">
        <v>21458</v>
      </c>
      <c r="D7">
        <v>40149</v>
      </c>
      <c r="E7">
        <v>23538</v>
      </c>
      <c r="F7">
        <v>17283</v>
      </c>
      <c r="G7">
        <v>23626</v>
      </c>
    </row>
    <row r="8" spans="1:8" x14ac:dyDescent="0.25">
      <c r="A8" t="s">
        <v>11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9174-75E6-4FAB-9DEB-4BA0CADCC420}">
  <dimension ref="A1:H8"/>
  <sheetViews>
    <sheetView showGridLines="0" showRowColHeaders="0" zoomScale="145" zoomScaleNormal="145" workbookViewId="0">
      <selection activeCell="F24" sqref="F24"/>
    </sheetView>
  </sheetViews>
  <sheetFormatPr defaultRowHeight="15" x14ac:dyDescent="0.25"/>
  <cols>
    <col min="1" max="1" width="12.28515625" bestFit="1" customWidth="1"/>
    <col min="2" max="2" width="7.42578125" bestFit="1" customWidth="1"/>
    <col min="3" max="3" width="9" bestFit="1" customWidth="1"/>
    <col min="4" max="4" width="8.5703125" customWidth="1"/>
    <col min="5" max="5" width="9" customWidth="1"/>
    <col min="6" max="6" width="9.140625" customWidth="1"/>
    <col min="7" max="7" width="8.5703125" customWidth="1"/>
    <col min="8" max="8" width="14.7109375" bestFit="1" customWidth="1"/>
  </cols>
  <sheetData>
    <row r="1" spans="1:8" x14ac:dyDescent="0.25">
      <c r="A1" s="3" t="s">
        <v>14</v>
      </c>
      <c r="B1" s="3"/>
      <c r="C1" s="3"/>
      <c r="D1" s="3"/>
      <c r="E1" s="3"/>
      <c r="F1" s="3"/>
      <c r="G1" s="3"/>
      <c r="H1" s="3"/>
    </row>
    <row r="2" spans="1:8" x14ac:dyDescent="0.25">
      <c r="A2" t="s">
        <v>13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12</v>
      </c>
    </row>
    <row r="3" spans="1:8" x14ac:dyDescent="0.25">
      <c r="A3" t="s">
        <v>6</v>
      </c>
      <c r="B3">
        <v>10978</v>
      </c>
      <c r="C3">
        <v>34685</v>
      </c>
      <c r="D3">
        <v>33448</v>
      </c>
      <c r="E3">
        <v>36249</v>
      </c>
      <c r="F3">
        <v>18624</v>
      </c>
      <c r="G3">
        <v>17480</v>
      </c>
      <c r="H3">
        <f>SUM(B3:G3)</f>
        <v>151464</v>
      </c>
    </row>
    <row r="4" spans="1:8" x14ac:dyDescent="0.25">
      <c r="A4" t="s">
        <v>7</v>
      </c>
      <c r="B4">
        <v>27515</v>
      </c>
      <c r="C4">
        <v>16966</v>
      </c>
      <c r="D4">
        <v>23700</v>
      </c>
      <c r="E4">
        <v>28597</v>
      </c>
      <c r="F4">
        <v>29491</v>
      </c>
      <c r="G4">
        <v>17801</v>
      </c>
      <c r="H4">
        <f>SUM(B4:G4)</f>
        <v>144070</v>
      </c>
    </row>
    <row r="5" spans="1:8" x14ac:dyDescent="0.25">
      <c r="A5" t="s">
        <v>8</v>
      </c>
      <c r="B5">
        <v>27055</v>
      </c>
      <c r="C5">
        <v>39004</v>
      </c>
      <c r="D5">
        <v>37134</v>
      </c>
      <c r="E5">
        <v>25926</v>
      </c>
      <c r="F5">
        <v>41547</v>
      </c>
      <c r="G5">
        <v>23920</v>
      </c>
      <c r="H5">
        <f>SUM(B5:G5)</f>
        <v>194586</v>
      </c>
    </row>
    <row r="6" spans="1:8" x14ac:dyDescent="0.25">
      <c r="A6" t="s">
        <v>9</v>
      </c>
      <c r="B6">
        <v>16601</v>
      </c>
      <c r="C6">
        <v>40283</v>
      </c>
      <c r="D6">
        <v>10316</v>
      </c>
      <c r="E6">
        <v>15269</v>
      </c>
      <c r="F6">
        <v>12916</v>
      </c>
      <c r="G6">
        <v>18128</v>
      </c>
      <c r="H6">
        <f>SUM(B6:G6)</f>
        <v>113513</v>
      </c>
    </row>
    <row r="7" spans="1:8" x14ac:dyDescent="0.25">
      <c r="A7" t="s">
        <v>10</v>
      </c>
      <c r="B7">
        <v>33125</v>
      </c>
      <c r="C7">
        <v>21458</v>
      </c>
      <c r="D7">
        <v>40149</v>
      </c>
      <c r="E7">
        <v>23538</v>
      </c>
      <c r="F7">
        <v>17283</v>
      </c>
      <c r="G7">
        <v>23626</v>
      </c>
      <c r="H7">
        <f>SUM(B7:G7)</f>
        <v>159179</v>
      </c>
    </row>
    <row r="8" spans="1:8" x14ac:dyDescent="0.25">
      <c r="A8" t="s">
        <v>11</v>
      </c>
      <c r="B8">
        <f t="shared" ref="B8:G8" si="0">SUM(B3:B7)</f>
        <v>115274</v>
      </c>
      <c r="C8">
        <f t="shared" si="0"/>
        <v>152396</v>
      </c>
      <c r="D8">
        <f t="shared" si="0"/>
        <v>144747</v>
      </c>
      <c r="E8">
        <f t="shared" si="0"/>
        <v>129579</v>
      </c>
      <c r="F8">
        <f t="shared" si="0"/>
        <v>119861</v>
      </c>
      <c r="G8">
        <f t="shared" si="0"/>
        <v>100955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F712-5314-4E6B-B5EF-FC2CA10E2ECB}">
  <dimension ref="A3:G10"/>
  <sheetViews>
    <sheetView workbookViewId="0">
      <selection activeCell="L23" sqref="L23"/>
    </sheetView>
  </sheetViews>
  <sheetFormatPr defaultRowHeight="15" x14ac:dyDescent="0.25"/>
  <cols>
    <col min="1" max="1" width="18.42578125" bestFit="1" customWidth="1"/>
    <col min="2" max="2" width="8.85546875" bestFit="1" customWidth="1"/>
    <col min="3" max="3" width="11" bestFit="1" customWidth="1"/>
    <col min="4" max="4" width="7.85546875" bestFit="1" customWidth="1"/>
    <col min="5" max="6" width="7" bestFit="1" customWidth="1"/>
    <col min="7" max="7" width="7.7109375" bestFit="1" customWidth="1"/>
  </cols>
  <sheetData>
    <row r="3" spans="1:7" x14ac:dyDescent="0.25">
      <c r="A3" s="1" t="s">
        <v>15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</row>
    <row r="4" spans="1:7" x14ac:dyDescent="0.25">
      <c r="A4" s="2" t="s">
        <v>8</v>
      </c>
      <c r="B4" s="4">
        <v>27055</v>
      </c>
      <c r="C4" s="4">
        <v>39004</v>
      </c>
      <c r="D4" s="4">
        <v>37134</v>
      </c>
      <c r="E4" s="4">
        <v>25926</v>
      </c>
      <c r="F4" s="4">
        <v>41547</v>
      </c>
      <c r="G4" s="4">
        <v>23920</v>
      </c>
    </row>
    <row r="5" spans="1:7" x14ac:dyDescent="0.25">
      <c r="A5" s="2" t="s">
        <v>9</v>
      </c>
      <c r="B5" s="4">
        <v>16601</v>
      </c>
      <c r="C5" s="4">
        <v>40283</v>
      </c>
      <c r="D5" s="4">
        <v>10316</v>
      </c>
      <c r="E5" s="4">
        <v>15269</v>
      </c>
      <c r="F5" s="4">
        <v>12916</v>
      </c>
      <c r="G5" s="4">
        <v>18128</v>
      </c>
    </row>
    <row r="6" spans="1:7" x14ac:dyDescent="0.25">
      <c r="A6" s="2" t="s">
        <v>7</v>
      </c>
      <c r="B6" s="4">
        <v>27515</v>
      </c>
      <c r="C6" s="4">
        <v>16966</v>
      </c>
      <c r="D6" s="4">
        <v>23700</v>
      </c>
      <c r="E6" s="4">
        <v>28597</v>
      </c>
      <c r="F6" s="4">
        <v>29491</v>
      </c>
      <c r="G6" s="4">
        <v>17801</v>
      </c>
    </row>
    <row r="7" spans="1:7" x14ac:dyDescent="0.25">
      <c r="A7" s="2" t="s">
        <v>6</v>
      </c>
      <c r="B7" s="4">
        <v>10978</v>
      </c>
      <c r="C7" s="4">
        <v>34685</v>
      </c>
      <c r="D7" s="4">
        <v>33448</v>
      </c>
      <c r="E7" s="4">
        <v>36249</v>
      </c>
      <c r="F7" s="4">
        <v>18624</v>
      </c>
      <c r="G7" s="4">
        <v>17480</v>
      </c>
    </row>
    <row r="8" spans="1:7" x14ac:dyDescent="0.25">
      <c r="A8" s="2" t="s">
        <v>11</v>
      </c>
      <c r="B8" s="4">
        <v>115274</v>
      </c>
      <c r="C8" s="4">
        <v>152396</v>
      </c>
      <c r="D8" s="4">
        <v>144747</v>
      </c>
      <c r="E8" s="4">
        <v>129579</v>
      </c>
      <c r="F8" s="4">
        <v>119861</v>
      </c>
      <c r="G8" s="4">
        <v>100955</v>
      </c>
    </row>
    <row r="9" spans="1:7" x14ac:dyDescent="0.25">
      <c r="A9" s="2" t="s">
        <v>10</v>
      </c>
      <c r="B9" s="4">
        <v>33125</v>
      </c>
      <c r="C9" s="4">
        <v>21458</v>
      </c>
      <c r="D9" s="4">
        <v>40149</v>
      </c>
      <c r="E9" s="4">
        <v>23538</v>
      </c>
      <c r="F9" s="4">
        <v>17283</v>
      </c>
      <c r="G9" s="4">
        <v>23626</v>
      </c>
    </row>
    <row r="10" spans="1:7" x14ac:dyDescent="0.25">
      <c r="A10" s="2" t="s">
        <v>16</v>
      </c>
      <c r="B10" s="4">
        <v>230548</v>
      </c>
      <c r="C10" s="4">
        <v>304792</v>
      </c>
      <c r="D10" s="4">
        <v>289494</v>
      </c>
      <c r="E10" s="4">
        <v>259158</v>
      </c>
      <c r="F10" s="4">
        <v>239722</v>
      </c>
      <c r="G10" s="4">
        <v>201910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B0B14-0CC2-45C3-B6E5-B3B520793BBF}">
  <dimension ref="A1:B8"/>
  <sheetViews>
    <sheetView workbookViewId="0">
      <selection activeCell="L17" sqref="L17"/>
    </sheetView>
  </sheetViews>
  <sheetFormatPr defaultRowHeight="15" x14ac:dyDescent="0.25"/>
  <cols>
    <col min="1" max="1" width="18.42578125" bestFit="1" customWidth="1"/>
    <col min="2" max="2" width="15.7109375" bestFit="1" customWidth="1"/>
  </cols>
  <sheetData>
    <row r="1" spans="1:2" x14ac:dyDescent="0.25">
      <c r="A1" s="1" t="s">
        <v>15</v>
      </c>
      <c r="B1" t="s">
        <v>17</v>
      </c>
    </row>
    <row r="2" spans="1:2" x14ac:dyDescent="0.25">
      <c r="A2" s="2" t="s">
        <v>8</v>
      </c>
      <c r="B2">
        <v>27055</v>
      </c>
    </row>
    <row r="3" spans="1:2" x14ac:dyDescent="0.25">
      <c r="A3" s="2" t="s">
        <v>9</v>
      </c>
      <c r="B3">
        <v>16601</v>
      </c>
    </row>
    <row r="4" spans="1:2" x14ac:dyDescent="0.25">
      <c r="A4" s="2" t="s">
        <v>7</v>
      </c>
      <c r="B4">
        <v>27515</v>
      </c>
    </row>
    <row r="5" spans="1:2" x14ac:dyDescent="0.25">
      <c r="A5" s="2" t="s">
        <v>6</v>
      </c>
      <c r="B5">
        <v>10978</v>
      </c>
    </row>
    <row r="6" spans="1:2" x14ac:dyDescent="0.25">
      <c r="A6" s="2" t="s">
        <v>11</v>
      </c>
      <c r="B6">
        <v>115274</v>
      </c>
    </row>
    <row r="7" spans="1:2" x14ac:dyDescent="0.25">
      <c r="A7" s="2" t="s">
        <v>10</v>
      </c>
      <c r="B7">
        <v>33125</v>
      </c>
    </row>
    <row r="8" spans="1:2" x14ac:dyDescent="0.25">
      <c r="A8" s="2" t="s">
        <v>16</v>
      </c>
      <c r="B8">
        <v>230548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DACB-1094-49C0-87AC-8E9005D62D51}">
  <dimension ref="A1:B8"/>
  <sheetViews>
    <sheetView workbookViewId="0">
      <selection activeCell="D21" sqref="D21"/>
    </sheetView>
  </sheetViews>
  <sheetFormatPr defaultRowHeight="15" x14ac:dyDescent="0.25"/>
  <cols>
    <col min="1" max="1" width="18.42578125" bestFit="1" customWidth="1"/>
    <col min="2" max="3" width="23.5703125" bestFit="1" customWidth="1"/>
    <col min="4" max="6" width="20.140625" bestFit="1" customWidth="1"/>
    <col min="7" max="8" width="10.7109375" bestFit="1" customWidth="1"/>
  </cols>
  <sheetData>
    <row r="1" spans="1:2" x14ac:dyDescent="0.25">
      <c r="A1" s="1" t="s">
        <v>15</v>
      </c>
      <c r="B1" t="s">
        <v>18</v>
      </c>
    </row>
    <row r="2" spans="1:2" x14ac:dyDescent="0.25">
      <c r="A2" s="2" t="s">
        <v>8</v>
      </c>
      <c r="B2">
        <v>194586</v>
      </c>
    </row>
    <row r="3" spans="1:2" x14ac:dyDescent="0.25">
      <c r="A3" s="2" t="s">
        <v>9</v>
      </c>
      <c r="B3">
        <v>113513</v>
      </c>
    </row>
    <row r="4" spans="1:2" x14ac:dyDescent="0.25">
      <c r="A4" s="2" t="s">
        <v>7</v>
      </c>
      <c r="B4">
        <v>144070</v>
      </c>
    </row>
    <row r="5" spans="1:2" x14ac:dyDescent="0.25">
      <c r="A5" s="2" t="s">
        <v>6</v>
      </c>
      <c r="B5">
        <v>151464</v>
      </c>
    </row>
    <row r="6" spans="1:2" x14ac:dyDescent="0.25">
      <c r="A6" s="2" t="s">
        <v>11</v>
      </c>
    </row>
    <row r="7" spans="1:2" x14ac:dyDescent="0.25">
      <c r="A7" s="2" t="s">
        <v>10</v>
      </c>
      <c r="B7">
        <v>159179</v>
      </c>
    </row>
    <row r="8" spans="1:2" x14ac:dyDescent="0.25">
      <c r="A8" s="2" t="s">
        <v>16</v>
      </c>
      <c r="B8">
        <v>762812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EDE7-4176-4327-934A-5F57D40EC37A}">
  <dimension ref="A1"/>
  <sheetViews>
    <sheetView showGridLines="0" tabSelected="1" workbookViewId="0">
      <selection activeCell="V31" sqref="V31"/>
    </sheetView>
  </sheetViews>
  <sheetFormatPr defaultRowHeight="15" x14ac:dyDescent="0.25"/>
  <sheetData>
    <row r="1" spans="1:1" s="6" customFormat="1" ht="46.5" x14ac:dyDescent="0.7">
      <c r="A1" s="5" t="s">
        <v>19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Produção Mensal</vt:lpstr>
      <vt:lpstr>Por produto</vt:lpstr>
      <vt:lpstr>Total</vt:lpstr>
      <vt:lpstr>Dinâmico</vt:lpstr>
      <vt:lpstr>Dinamico Janeiro</vt:lpstr>
      <vt:lpstr>Dinamico total</vt:lpstr>
      <vt:lpstr>Dashboard01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Giannini</dc:creator>
  <cp:lastModifiedBy>Ivo Giannini</cp:lastModifiedBy>
  <dcterms:created xsi:type="dcterms:W3CDTF">2025-04-12T11:27:18Z</dcterms:created>
  <dcterms:modified xsi:type="dcterms:W3CDTF">2025-04-12T14:06:50Z</dcterms:modified>
</cp:coreProperties>
</file>