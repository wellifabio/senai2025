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autoCompressPictures="0"/>
  <mc:AlternateContent xmlns:mc="http://schemas.openxmlformats.org/markup-compatibility/2006">
    <mc:Choice Requires="x15">
      <x15ac:absPath xmlns:x15ac="http://schemas.microsoft.com/office/spreadsheetml/2010/11/ac" url="D:\_SENAI\2025_1\SP Skills\Treinamento Renan\"/>
    </mc:Choice>
  </mc:AlternateContent>
  <xr:revisionPtr revIDLastSave="0" documentId="13_ncr:1_{773E4E4B-D019-4328-8EE3-FA59C243C60A}" xr6:coauthVersionLast="47" xr6:coauthVersionMax="47" xr10:uidLastSave="{00000000-0000-0000-0000-000000000000}"/>
  <bookViews>
    <workbookView xWindow="-120" yWindow="-120" windowWidth="20730" windowHeight="11040" xr2:uid="{00000000-000D-0000-FFFF-FFFF00000000}"/>
  </bookViews>
  <sheets>
    <sheet name="CIS Marking Scheme Import" sheetId="1" r:id="rId1"/>
    <sheet name="Planilha1" sheetId="7" r:id="rId2"/>
    <sheet name="Calculations" sheetId="6" r:id="rId3"/>
  </sheet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N156" i="1" l="1"/>
  <c r="N88" i="1"/>
  <c r="J5" i="1"/>
  <c r="K5" i="1" s="1"/>
  <c r="J10" i="1"/>
  <c r="K10" i="1" s="1"/>
  <c r="N263" i="1"/>
  <c r="N260" i="1"/>
  <c r="N257" i="1"/>
  <c r="N254" i="1"/>
  <c r="N251" i="1"/>
  <c r="N189" i="1"/>
  <c r="N28" i="1"/>
  <c r="J11" i="1"/>
  <c r="K11" i="1" s="1"/>
  <c r="J9" i="1"/>
  <c r="K9" i="1" s="1"/>
  <c r="J8" i="1"/>
  <c r="K8" i="1" s="1"/>
  <c r="J7" i="1"/>
  <c r="K7" i="1" s="1"/>
  <c r="J6" i="1"/>
  <c r="K6" i="1" s="1"/>
  <c r="N268" i="1" l="1"/>
  <c r="K12" i="1"/>
</calcChain>
</file>

<file path=xl/sharedStrings.xml><?xml version="1.0" encoding="utf-8"?>
<sst xmlns="http://schemas.openxmlformats.org/spreadsheetml/2006/main" count="1380" uniqueCount="343">
  <si>
    <t>08 Mobile Applications Development</t>
  </si>
  <si>
    <t>WorldSkills Occupational Standards</t>
  </si>
  <si>
    <t>Section</t>
  </si>
  <si>
    <t>WSOS Marks</t>
  </si>
  <si>
    <t>Aspect Marks</t>
  </si>
  <si>
    <t>Variation</t>
  </si>
  <si>
    <t>Organização e gestão do trabalho</t>
  </si>
  <si>
    <t>Comunicação e habilidades interpessoais</t>
  </si>
  <si>
    <t>Prática Sustentável</t>
  </si>
  <si>
    <t>Planejamento inicial, design e estrutura de teste</t>
  </si>
  <si>
    <t>Planejamento de arquitetura de sistemas</t>
  </si>
  <si>
    <t>Implementação e desenvolvimento de produto</t>
  </si>
  <si>
    <t>Testes finais do produto, solução de problemas e otimização</t>
  </si>
  <si>
    <t>Total Variation</t>
  </si>
  <si>
    <t>Criteria</t>
  </si>
  <si>
    <t>ID</t>
  </si>
  <si>
    <t>Name</t>
  </si>
  <si>
    <t>Mark</t>
  </si>
  <si>
    <t>A</t>
  </si>
  <si>
    <t>Design</t>
  </si>
  <si>
    <t>B</t>
  </si>
  <si>
    <t>Funcionalidades</t>
  </si>
  <si>
    <t>C</t>
  </si>
  <si>
    <t>Implementações</t>
  </si>
  <si>
    <t>D</t>
  </si>
  <si>
    <t>Testes</t>
  </si>
  <si>
    <t>E</t>
  </si>
  <si>
    <t>F</t>
  </si>
  <si>
    <t>G</t>
  </si>
  <si>
    <t>H</t>
  </si>
  <si>
    <t>I</t>
  </si>
  <si>
    <t>Sub
Criterion
ID</t>
  </si>
  <si>
    <t>Sub Criterion
Name or Description</t>
  </si>
  <si>
    <t>Day of Marking</t>
  </si>
  <si>
    <t>Aspect
Type
M = Meas
J = Judg</t>
  </si>
  <si>
    <t>Aspect - Description</t>
  </si>
  <si>
    <t>Judg Score</t>
  </si>
  <si>
    <t>Extra Aspect Description (Meas or Judg)
OR
Judgement Score Description (Judg only)</t>
  </si>
  <si>
    <t>Requirement
(Measurement Only)</t>
  </si>
  <si>
    <t>WSOS Section</t>
  </si>
  <si>
    <t>Calculation Row 
(Export only)</t>
  </si>
  <si>
    <t>Max
Mark</t>
  </si>
  <si>
    <t>Criterion A</t>
  </si>
  <si>
    <t>Total
Mark</t>
  </si>
  <si>
    <t>A1</t>
  </si>
  <si>
    <t>Design AM</t>
  </si>
  <si>
    <t/>
  </si>
  <si>
    <t>M</t>
  </si>
  <si>
    <t>Demandas Gerais: Entrega do repositório</t>
  </si>
  <si>
    <t>1.O projeto foi entregue dentro do servidor no tempo proposto [0.50];
2.A nomenclatura do repositório está conforme prova: 08_A1_XX_Nome;[0.35]</t>
  </si>
  <si>
    <t>Demandas Gerais: Tela extra</t>
  </si>
  <si>
    <t>Splash Screen: Componentes visuais</t>
  </si>
  <si>
    <t>Splash Screen: Requisitos de design</t>
  </si>
  <si>
    <t>Tutorial de integração: Componentes visuais</t>
  </si>
  <si>
    <t>Tutorial de integração: Requisitos de design</t>
  </si>
  <si>
    <t>Login: Componentes visuais</t>
  </si>
  <si>
    <t>Login: Requisitos de design</t>
  </si>
  <si>
    <t>Cadastro: Componentes visuais</t>
  </si>
  <si>
    <t>Cadastro: Requisitos de design</t>
  </si>
  <si>
    <t>J</t>
  </si>
  <si>
    <t>O design visual geral do Figma funciona, cada página tem algumas melhorias de design.</t>
  </si>
  <si>
    <t>Não existe quase nenhum design visual, semelhante a wireframes</t>
  </si>
  <si>
    <t>Existem poucas otimizações de design visual</t>
  </si>
  <si>
    <t>A otimização de elementos visuais, como correspondência de cores, design de botões e layout de conteúdo, melhorou efetivamente o efeito do mapa geral do protótipo</t>
  </si>
  <si>
    <t>Fiquei impressionado com o design requintado dos protótipos de alta fidelidade.</t>
  </si>
  <si>
    <t>A experiência de usar o protótipo no Figma</t>
  </si>
  <si>
    <t>Os trabalhos do Figma não podem ser visualizados</t>
  </si>
  <si>
    <t>As expectativas de operação das telas no figma são consistentes com o que foi solicitado</t>
  </si>
  <si>
    <t>Além do que foi solicitado, foram adicionados novas telas e elementos de tela</t>
  </si>
  <si>
    <t>As telas e elementos de telas adicionados podem melhorar efetivamente a experiência do usuário.</t>
  </si>
  <si>
    <t>A2</t>
  </si>
  <si>
    <t>Design PM</t>
  </si>
  <si>
    <t>Criterion B</t>
  </si>
  <si>
    <t>B1</t>
  </si>
  <si>
    <t>Funcionalidades-AM</t>
  </si>
  <si>
    <t>1.O projeto foi entregue dentro do servidor no tempo proposto [0.60];
2.A nomenclatura do repositório está conforme prova: 08_B1_XX_Nome;[0.25]</t>
  </si>
  <si>
    <t>Demandas Gerais: Ícone do app</t>
  </si>
  <si>
    <t>Demandas Gerais: Conexão com a internet</t>
  </si>
  <si>
    <t>Splash: Componentes visuais</t>
  </si>
  <si>
    <t>Splash: Requisitos funcionais</t>
  </si>
  <si>
    <t>Login: Requisitos funcionais</t>
  </si>
  <si>
    <t>Cadastro: Requisitos funcionais</t>
  </si>
  <si>
    <t>Qualidade das animações</t>
  </si>
  <si>
    <t>Não concluiu nenhum efeito de animação</t>
  </si>
  <si>
    <t>Parte das animações foi concluída ou alguns efeitos estão com falhas</t>
  </si>
  <si>
    <t>Todas as animações foram concluídas e os efeitos estão próximos dos vídeos/textos fornecidos</t>
  </si>
  <si>
    <t>Todas as animações foram concluídas e os efeitos são os mesmos dos vídeos fornecidos</t>
  </si>
  <si>
    <t>B2</t>
  </si>
  <si>
    <t>Funcionalidades-PM</t>
  </si>
  <si>
    <t>1.O projeto foi entregue dentro do servidor no tempo proposto [0.60];
2.A nomenclatura do repositório está conforme prova: 08_B2_XX_Nome;[0,25]</t>
  </si>
  <si>
    <t>Todas as animações foram concluídas e os efeitos são os mesmos dos vídeos/textos fornecidos</t>
  </si>
  <si>
    <t>Criterion C</t>
  </si>
  <si>
    <t>C1</t>
  </si>
  <si>
    <t>Implementações-AM</t>
  </si>
  <si>
    <t>1.O projeto foi entregue dentro do servidor no tempo proposto [0.60];
2.A nomenclatura do repositório está conforme prova: 08_C1_XX_Nome;[0.25]</t>
  </si>
  <si>
    <t>Alerta de bateria baixa: Componentes visuais</t>
  </si>
  <si>
    <t>Alerta de bateria baixa: Requisitos funcionais</t>
  </si>
  <si>
    <t>Aplicativo é fácil de usar</t>
  </si>
  <si>
    <t>O aplicativo não funciona normalmente</t>
  </si>
  <si>
    <t>O aplicativo funciona normalmente, mas a maioria das funções são difíceis de usar.</t>
  </si>
  <si>
    <t>O aplicativo funciona normalmente e a maioria das funções é fácil de usar, algumas funções são difíceis de usar.</t>
  </si>
  <si>
    <t>O aplicativo funciona normalmente e a experiência funcional é boa, todos os usuários podem aproveitar.</t>
  </si>
  <si>
    <t>Criterion D</t>
  </si>
  <si>
    <t>D1</t>
  </si>
  <si>
    <t>Testes automatizados</t>
  </si>
  <si>
    <t>1) O projeto foi entregue dentro do servidor no tempo proposto [0.60];
2) A nomenclatura do repositório está conforme prova: 08_D1_XX_Nome;[0.25]</t>
  </si>
  <si>
    <t>Teste Automatizado etapa - 1</t>
  </si>
  <si>
    <t>Teste Automatizado etapa - 2</t>
  </si>
  <si>
    <t>Teste Automatizado etapa - 3</t>
  </si>
  <si>
    <t>Teste Automatizado etapa - 4</t>
  </si>
  <si>
    <t>Teste Automatizado etapa - 5</t>
  </si>
  <si>
    <t>Teste Automatizado etapa - 6</t>
  </si>
  <si>
    <t>Teste Automatizado etapa - 7</t>
  </si>
  <si>
    <t>Teste Automatizado etapa - 8</t>
  </si>
  <si>
    <t>Teste Automatizado etapa - 9</t>
  </si>
  <si>
    <t>Teste Automatizado etapa - 10</t>
  </si>
  <si>
    <t>Teste Automatizado etapa - 11</t>
  </si>
  <si>
    <t>Teste Automatizado etapa - 12</t>
  </si>
  <si>
    <t>Teste Automatizado etapa - 13</t>
  </si>
  <si>
    <t>Teste Automatizado etapa - 14</t>
  </si>
  <si>
    <t>Teste Automatizado etapa - 15</t>
  </si>
  <si>
    <t>Teste automatizado - tempo de espera</t>
  </si>
  <si>
    <t>Todas as etapas precisam ser mantidas por pelo menos 5 segundos</t>
  </si>
  <si>
    <t>Criterion E</t>
  </si>
  <si>
    <t>Criterion F</t>
  </si>
  <si>
    <t>Criterion G</t>
  </si>
  <si>
    <t>Criterion H</t>
  </si>
  <si>
    <t>Criterion I</t>
  </si>
  <si>
    <t>Competition</t>
  </si>
  <si>
    <r>
      <t>A)</t>
    </r>
    <r>
      <rPr>
        <sz val="7"/>
        <color theme="1"/>
        <rFont val="Times New Roman"/>
        <family val="1"/>
      </rPr>
      <t xml:space="preserve"> </t>
    </r>
    <r>
      <rPr>
        <b/>
        <sz val="10"/>
        <color rgb="FF000000"/>
        <rFont val="Calibri"/>
        <family val="2"/>
      </rPr>
      <t>Cabeçalho</t>
    </r>
    <r>
      <rPr>
        <sz val="10"/>
        <color rgb="FF000000"/>
        <rFont val="Calibri"/>
        <family val="2"/>
      </rPr>
      <t>:</t>
    </r>
  </si>
  <si>
    <r>
      <t>B)</t>
    </r>
    <r>
      <rPr>
        <b/>
        <sz val="7"/>
        <color rgb="FF000000"/>
        <rFont val="Times New Roman"/>
        <family val="1"/>
      </rPr>
      <t> </t>
    </r>
    <r>
      <rPr>
        <b/>
        <sz val="10"/>
        <color rgb="FF000000"/>
        <rFont val="Calibri"/>
        <family val="2"/>
      </rPr>
      <t>Input “Tipo de Plantio”</t>
    </r>
  </si>
  <si>
    <r>
      <t>C)</t>
    </r>
    <r>
      <rPr>
        <b/>
        <sz val="7"/>
        <color rgb="FF000000"/>
        <rFont val="Times New Roman"/>
        <family val="1"/>
      </rPr>
      <t xml:space="preserve"> </t>
    </r>
    <r>
      <rPr>
        <b/>
        <sz val="10"/>
        <color rgb="FF000000"/>
        <rFont val="Calibri"/>
        <family val="2"/>
      </rPr>
      <t>Data início do plantio</t>
    </r>
  </si>
  <si>
    <r>
      <t>D)</t>
    </r>
    <r>
      <rPr>
        <b/>
        <sz val="7"/>
        <color rgb="FF000000"/>
        <rFont val="Times New Roman"/>
        <family val="1"/>
      </rPr>
      <t xml:space="preserve"> </t>
    </r>
    <r>
      <rPr>
        <b/>
        <sz val="10"/>
        <color rgb="FF000000"/>
        <rFont val="Calibri"/>
        <family val="2"/>
      </rPr>
      <t>Data fim da colheita</t>
    </r>
  </si>
  <si>
    <r>
      <t>E)</t>
    </r>
    <r>
      <rPr>
        <b/>
        <sz val="7"/>
        <color rgb="FF000000"/>
        <rFont val="Times New Roman"/>
        <family val="1"/>
      </rPr>
      <t xml:space="preserve"> </t>
    </r>
    <r>
      <rPr>
        <b/>
        <sz val="10"/>
        <color rgb="FF000000"/>
        <rFont val="Calibri"/>
        <family val="2"/>
      </rPr>
      <t>Botão “Salvar”</t>
    </r>
  </si>
  <si>
    <t>Demandas Gerais: Textos</t>
  </si>
  <si>
    <t>Demandas Gerais: Avatar</t>
  </si>
  <si>
    <t>Home: Componentes visuais</t>
  </si>
  <si>
    <t>Home: Requisitos de design</t>
  </si>
  <si>
    <t>Produto: Componentes visuais</t>
  </si>
  <si>
    <t>Produto: Requisitos de design</t>
  </si>
  <si>
    <t>Checkout: Componentes visuais</t>
  </si>
  <si>
    <t>Checkout: Requisitos de design</t>
  </si>
  <si>
    <t>Meu Perfil: Componentes visuais</t>
  </si>
  <si>
    <t>Meu Perfil: Requisitos de design</t>
  </si>
  <si>
    <t>1. Logotipo [0,10]
2. Fundo (background); [0,10]</t>
  </si>
  <si>
    <t>1.Os elementos da tela devem aparecer, de forma encadeada, de baixo para cima; [0,20]
2. Todos os campos devem possuir simulação de entrada de dados; 7 Campos [0,10] por campo
3.Ao dar um tap em “Voltar” o usuário deve ser redirecionado para a tela “Login”; [0,10]
4.Ao dar um tap em “Cadastrar”, o usuário deve receber uma mensagem do tipo toasty com o texto “Cadastro realizado com sucesso!”; [0,10]
5.Ao dar um tap em “Cadastrar”, o usuário deve ser redirecionado para a tela “Login”; [0,10]
6. Os elementos da tela devem desaparecer, de forma encadeada, de cima para baixo. [0,20]</t>
  </si>
  <si>
    <t>1.Os elementos da tela devem aparecer, de forma encadeada, de baixo para cima; [0,20]
2.Ao dar um tap no ícone de coração, o mesmo deve ser preenchido; [0,15]
3.Após 3 segundos, uma modal deve aparecer com o texto “Aniversário da Case4You, 10% OFF em todas as capinhas!”; [0,20]
4. Os elementos da tela devem desaparecer, de forma encadeada, de cima para baixo. [0,20]</t>
  </si>
  <si>
    <t>1.Os elementos da tela devem aparecer, de forma encadeada, de baixo para cima;  [0,20]
2.Todos os campos são obrigatórios, caso algum não seja preenchido, deve existir uma sinalização; 7 campos [0,10] por campo
3.Ao dar um tap no botão “Atualizar” o usuário deverá receber uma notificação do tipo toasty com o texto “Dados atualizados com sucesso!”;  [0,10]
4.Os elementos da tela devem desaparecer, de forma encadeada, de cima para baixo. [0,20]</t>
  </si>
  <si>
    <t>1.O projeto foi entregue dentro do servidor no tempo proposto [0,50];
2.A nomenclatura do repositório está conforme prova: 08_A2_XX_Nome;[0,35]</t>
  </si>
  <si>
    <t>1. Todos os textos dos componentes devem ser exatamente iguais como são escritos neste Projeto Teste; [0,5]</t>
  </si>
  <si>
    <t>1.Deve ser criada 1 tela extra com o objetivo de integrar as demais e a solução proposta para a empresa; [0,5]</t>
  </si>
  <si>
    <t>1. Todos os textos dos componentes devem ser exatamente iguais como são escritos neste Projeto Teste; [0,50];</t>
  </si>
  <si>
    <t>1.Deve ser criada 1 tela extra com o objetivo de integrar as demais e a solução proposta para a empresa [0,50];</t>
  </si>
  <si>
    <t>1.Logotipo. [0,1]</t>
  </si>
  <si>
    <t>1.O logotipo deve conter uma animação na qual começa com o logo aparecendo na tela, centralizado horizontalmente e verticalmente, com o aumento de opacidade; [0,2]
2.Você também deverá criar uma animação para o fundo da tela de acordo com a Guia de Estilos da marca;  [0,25]
3.A Splash Screen deve ter uma duração de 5 segundos; [0,2]
4.O usuário deve ser redirecionado para a tela “Tutorial de Integração”. [0,1]</t>
  </si>
  <si>
    <t>1.Os elementos da tela devem aparecer, de forma encadeada, de baixo para cima;  [0,2]
2.O carrossel deve ser funcional através do gesto swipe; [0,3]
3.Os dots devem ser destacados de acordo com o slide que está sendo exibido; [0,2]
4.Ao dar um tap nos botões “Pular” ou “Logar”, o usuário deverá ser redirecionado para a tela “Login”; [0,1]
5. Os elementos da tela devem desaparecer, de forma encadeada, de cima para baixo. [0,2]</t>
  </si>
  <si>
    <t>1.Os elementos da tela devem aparecer, de forma encadeada, de baixo para cima;  [0,2]
2.Deve haver uma simulação de entrada de dados com CPF + senha nos inputs; [0,1]
3.Deve haver uma simulação de entrada de dados com e-mail + senha nos inputs; [0,1]
4.Quando o usuário der um tap em “Entrar”, ele deve receber uma notificação do tipo toasty com o texto “Login realizado com sucesso!”; [0,1]
5.Os elementos da tela devem desaparecer, de forma encadeada, de cima para baixo. [0,2]</t>
  </si>
  <si>
    <t>Dashboard: Componentes visuais</t>
  </si>
  <si>
    <t>Dashboard: Requisitos de design</t>
  </si>
  <si>
    <t>1.Os elementos da tela devem aparecer, de forma encadeada, de baixo para cima; [0,2]
2.Todos os gráficos devem apresentar animação percorrendo todos os números até o valor final;4 gráficos [0,2] por gráfico
3.Ao dar um tap em “Colaboradores(as)” o usuário deverá ser redirecionado para a tela “Colaboradores(as)”; [0,1]
4.Ao dar um tap no card de satisfação, o usuário deverá ser redirecionado para a tela “Avaliações”; [0,1]
5.Os elementos da tela devem desaparecer, de forma encadeada, de cima para baixo. [0,2]</t>
  </si>
  <si>
    <t>Colaboradores: Componentes visuais</t>
  </si>
  <si>
    <t>Colaboradores: Requisitos de design</t>
  </si>
  <si>
    <t>1.Os elementos da tela devem aparecer, de forma encadeada, de baixo para cima;  [0,20]
2.Deve ser possível trocar entre Light e Dark Mode; [0,30]
3.Deve haver uma simulação de entrada de dados nos inputs; 7 inputs [0,10] por input
4.Ao dar um tap em cadastrar uma mensagem do tipo toasty deve aparecer com o texto “Colaborador(a) cadastrado(a) com sucesso!”; [0,10]
5.Os elementos da tela devem desaparecer, de forma encadeada, de cima para baixo. [0,20]</t>
  </si>
  <si>
    <t>Avaliação: Componentes visuais</t>
  </si>
  <si>
    <t>Avaliação: Requisitos de design</t>
  </si>
  <si>
    <t>1.Os elementos da tela devem aparecer, de forma encadeada, de baixo para cima;  [0,20]
2.Deve existir uma simulação na qual o(a) gestor(a) deve conseguir realizar a busca sem a utilização de filtros; [0,20]
3.Deve existir uma simulação na qual o(a) gestor(a) deve conseguir realizar a busca com a utilização de filtro ao dar um tap no ícone de filtro, após isto, deve aparecer uma modal para filtrar por Área de Atuação do colaborador, acompanhado de um botão escrito “Buscar Avaliação”;  [0,30]
4.Os elementos da tela devem desaparecer, de forma encadeada, de cima para baixo. [0,20]</t>
  </si>
  <si>
    <t xml:space="preserve">1. Barra lateral com: Logotipo; [0,05] Itens de menu. 4 itens [0,05] por item;
2.Título; [0,05]
3.Ícone de troca de tema; [0,05]
4.Foto; [0,05]
5.Input com placeholder “Nome Completo”; [0,05]
6.Input com placeholder “Rua ou Avenida”; [0,05]
7.Input com placeholder “Número”; [0,05]
8.Input com placeholder “Bairro”; [0,05]
9.Input com placeholder “CEP”; [0,05]
10.Input com placeholder “Cidade”; [0,05]
11.Input com placeholder “Estado”; [0,05]
12.Botão “Cadastrar”; [0,05]
</t>
  </si>
  <si>
    <t>1. Barra lateral com: Logotipo; [0,05] Itens de menu. 4 itens [0,05] por item;
2.Título; [0,05]
3.Foto; [0,05]
4.Barra de busca com ícone de filtro e busca; [0,05]
5.Texto “Lista de Avaliações”; [0,05]
6.Tabela de avaliações [0,05]</t>
  </si>
  <si>
    <t>1. Barra lateral com: Logotipo; [0,05] Itens de menu. 4 itens [0,05] por item;
2.Título; [0,05]
3.Foto; [0,05]
4.Barra de busca com ícones de filtro e buscar; [0,05]
5.Botão “Cadastrar Colaborador(a)”; [0,05]
6.Texto “Lista de Colaboradores”; [0,05]
7.Cards de colaboradores com foto [0,05], nome [0,05], cargo [0,05], tempo na empresa [0,05], ícone de edição [0,05], ícone de remoção; [0,05]</t>
  </si>
  <si>
    <t>1. Barra lateral com: Logotipo; [0,05] Itens de menu. 4 itens [0,05] por item;
2.Título; [0,05]
3.Foto; [0,05]
4.Card de colaboradores, com total de colaboradores(as): 87; [0,05]
5.Card de contratações, com contratações do último trimestre: Janeiro (5), Fevereiro (2), Março (1); [0,05]
6.Card de turnover, com turnover dos últimos 3 meses: Janeiro (3), Fevereiro (3), Março (2); [0,05]
7.Card com satisfação dos colaboradores, com satisfação dos colaboradores dos últimos 3 meses: Janeiro (80%), Fevereiro (72%), Março (63%). [0,05]</t>
  </si>
  <si>
    <t>1.Imagem; [0,05]
2.Texto “Bem-vindo(a) à Gestão do RH da Case4You!”; [0,05]
3.Input com o placeholder “E-mail ou CPF”; [0,05]
4.Input com placeholder “Senha”; [0,05]
5.Botão “Entrar”; [0,05]</t>
  </si>
  <si>
    <t>1.Imagens dos slides; 3 imagens [0,05] por imagem
2.Título dos slides (vide media-files); 3 títulos [0,05] por título
3.Texto dos slides (vide media-files); 3 textos [0,05] por texto
4.Dots do carrossel; [0,05]
5.Botões de “Pular”; 2 botões [0,05] por botão
6.Botão de “Logar”; [0,05]</t>
  </si>
  <si>
    <t>1.Menu de hambúrguer; [0,05]
2.Foto de avatar; [0,05]
3.Texto “Meu Perfil”; [0,05]
4.Texto “Avatar”; [0,05]
5.Imagem com ícone de câmera; [0,05]
6.Texto “Dados Gerais”; [0,05]
7.Input com placeholder “Nome Completo”; [0,05]
8.Input com placeholder “CPF”; [0,05]
9.Input com placeholder “Data de Nascimento”; [0,05]
10.Input com placeholder “E-mail”; [0,05]
11.Input com placeholder “Telefone”; [0,05]
12.Texto “Senha”; [0,05]
13.Input com placeholder “Senha”; [0,05]
14.Input com placeholder “Confirme sua senha”; [0,05]
15.Botão “Atualizar”; [0,05]</t>
  </si>
  <si>
    <t>1.	Meu de hambúrguer; [0,05]
2.	Foto de avatar; [0,05]
3.	Texto “Checkout”; [0,05]
4.	“Texto “Resumo da Compra”; [0,05]
5.	Card de produto adicionado ao carrinho; [0,05]
6.	Texto “Dados Pessoais”; [0,05]
7.	Input com placeholder “Nome Completo”; [0,05]
8.	Input com placeholder “E-mail”; [0,05]
9.	Input com placeholder “Telefone”; [0,05]
10.	Texto “Dados de Entrega”; [0,05]
11.	Input com placeholder “CEP”; [0,05]
12.	Input com placeholder “Rua, Avenida, etc.”; [0,05]
13.	Input com placeholder “Número”; [0,05]
14.	Input com placeholder “Complemento”; [0,05]
15.	Texto “Dados de Pagamento”; [0,05]
16.	Input com placeholder “Número do Cartão”; [0,05]
17.	Input com placeholder “Data de Expiração”; [0,05]
18.	Input com placeholder “CVV”; [0,05]
19.	Botão “Pagar”: [0,05]</t>
  </si>
  <si>
    <t>1.Meu de hambúrguer; [0,05]
2.Foto de avatar; [0,05]
3.Carrossel de imagens; [0,05]
4.Texto “Case Capitão América”; [0,05]
5.Texto “R$ 87”; [0,05]
6.Botão “Compra Rápida”; [0,05]
7.Botão “Adicionar ao Carrinho”; [0,05]
8.Texto “Detalhes”; [0,05]
9.Texto Lorem Ipsum; [0,05]</t>
  </si>
  <si>
    <t>1.Meu de hambúrguer; [0,05]
2.Foto de avatar; [0,05]
3.Barra de busca com o texto “O que você precisa?”; [0,05]
4.Texto “Últimos Lançamentos”; [0,05]
5.Cards de produtos; [0,05]
6.Texto “Queridinhas”; [0,05]</t>
  </si>
  <si>
    <t>1.Logotipo; [0,05]
2.Texto “Faça parte da família Case4You e tenha acesso aos melhores produtos”; [0,05]
3.Texto “Dados Gerais”; [0,05]
4.Input com placeholder “Nome Completo”; [0,05]
5.Input com placeholder “CPF”; [0,05]
6.Input com placeholder “Data de Nascimento”; [0,05]
7.Input com placeholder “E-mail”; [0,05]
8.Input com placeholder “Telefone”; [0,05]
9.Texto “Senha”; [0,05]
10.Input com placeholder “Senha”; [0,05]
11.Input com placeholder “Confirme sua senha”; [0,05]
12.Botão “Cadastrar”; [0,05]
13.Texto “Já é cadastrado(a)? Voltar.”; [0,05]</t>
  </si>
  <si>
    <t>1.Logotipo; [0,05]
2.Texto “O que você precisa, a gente vende!”; [0,05]
3.Input “e-mail” com placeholder “E-mail”; [0,05]
4.Input “password” com placeholder “Senha”; [0,05]
5.Botão “Entrar”; [0,05]
6.Texto “Esqueceu a senha? Redefina aqui.”; [0,05]
7.Texto “Novo(a) por aqui? Cadastre-se aqui.”; [0,05]</t>
  </si>
  <si>
    <t>1.Os elementos da tela devem aparecer, de forma encadeada, de baixo para cima;  [0,20]
2.Os inputs de e-mail e senha devem possuir simulação de entrada de dados;  [0,10]
3.O input de senha deve possuir um ícone de olho que, ao dar um tap e segurar, a senha é mostrada;  [0,10]
4.Ao soltar o tap no ícone de olho do input de senha, os caracteres são modificados para ícone de bolinhas; [0,10]
5.Ao dar um tap no link “Cadastre-se aqui” o usuário deve ser redirecionado para a tela “Cadastro”; [0,10]
6.Ao dar um tap no botão “Entrar” o usuário deve visualizar uma mensagem do tipo toasty com o texto “Login realizado com sucesso!”; [0,10]
7.Ao dar um tap no botão “Entrar” o usuário deve ser redirecionado para a tela “Home”; [0,10]
8. Os elementos da tela devem desaparecer, de forma encadeada, de cima para baixo. [0,20]</t>
  </si>
  <si>
    <t>1. Na telas em que a foto do avatar aparece, ao dar um tap nela, a tela “Meu Perfil” deve abrir; 4 telas [0,1] por tela</t>
  </si>
  <si>
    <t>1.O pictograma (ícone das cases/capinhas formando um coração) deve vir de baixo para cima até chegar ao centro da tela;  [0,20]
2.No centro da tela, o pictograma deve recuar para a esquerda para que o nome Case4You e slogan apareçam, vindo da direita para a esquerda;  [0,20]
3.Após o término da animação, o logo completo deverá estar centralizado horizontalmente e verticalmente na tela;  [0,15]
4.Você deverá criar uma animação também para o fundo (background) da tela, de sua escolha, seguindo a Guia de Estilos da marca;  [0,20]
5.Após 5 segundos, o usuário deve ser redirecionado para a tela “Login”.  [0,10]</t>
  </si>
  <si>
    <t>1.Os elementos da tela devem aparecer, de forma encadeada, de baixo para cima;  [0,20]
2.O carrossel de fotos do produto deve passar as fotos através do gesto swipe; [0,25]
3.Ao dar um tap em “Adicionar ao Carrinho”, o usuário deve receber uma notificação do tipo toasty com o texto “Funcionalidade indisponível no momento, desculpe o transtorno!”;  [0,10]
4.Ao dar um tap em “Compra Rápida”, o usuário deve ser redirecionado para a tela “Checkout”; [0,10]
5.Os elementos da tela devem desaparecer, de forma encadeada, de baixo para cima; [0,20]</t>
  </si>
  <si>
    <t>1.Os elementos da tela devem aparecer, de forma encadeada, de baixo para cima;  [0,20]
2. Deve existir a simulação de entrada de dados nos inputs de todos os campos; 10 Inputs  [0,05] por input
3. Ao dar um tap em “Pagar”, deve existir uma modal com o texto “Compra realizada com sucesso, sua case chegará em breve, obrigado!”; [0,10]
4.Ao dar um tap no produto, o usuário deve retornar para a tela do respectivo produto; [0,10]
5.Os elementos da tela devem desaparecer, de forma encadeada, de cima para baixo. [0,20]</t>
  </si>
  <si>
    <t>1.Os elementos da tela devem aparecer, de forma encadeada, de baixo para cima;  [0,20]
2.Ao dar um tap no ícone de edição, o usuário deverá visualizar uma modal com os detalhes do colaborador com foto, nome, área de atuação e tempo na Case4You; [0,25]
3.Ao dar um tap no ícone de excluir, deve existir uma simulação de exclusão de um colaborador; [0,30]
4.Ao dar um tap em uma imagem a mesma deve aparecer maior em uma modal; [0,30]
5.Os elementos da tela devem desaparecer, de forma encadeada, de cima para baixo.  [0,20]</t>
  </si>
  <si>
    <t>Colaboradores Cadastro: Componentes visuais</t>
  </si>
  <si>
    <t>Colaboradores Cadastro: Requisitos de design</t>
  </si>
  <si>
    <t>1. Na telas em que a foto do avatar aparece, ao dar um tap nela, a tela “Meu Perfil” deve abrir; 2 telas [0,1] por tela</t>
  </si>
  <si>
    <t>Fidelidade a guia de estilo</t>
  </si>
  <si>
    <t>Não seguiu a guia de estilos</t>
  </si>
  <si>
    <t>Usou só uma parte da guia de estilo no projeto</t>
  </si>
  <si>
    <t>Seguiu totalmente a guia de estilo e usou todas as cores, ícones e fontes indicadas</t>
  </si>
  <si>
    <t>Seguiu totalmente a guia de estilo e usou todas as cores, ícones e fontes indicadas e adicionou elementos a mais que complementam o aplicativo de forma satisfatória</t>
  </si>
  <si>
    <t>5.Em cada uma das telas, caso não houver internet, deverá apresentar a mensagem no modal conforme wireframe; 6 telas [0,1] por tela;</t>
  </si>
  <si>
    <t>1.Logotipo; [0,1]</t>
  </si>
  <si>
    <t>1.Logo do aplicativo; [0,05]
2.Texto de boas-vindas: “A case que você quer a gente vende!”; [0,05]
3.Input com placeholder “Email”; [0,05]
4.Input com placeholder “Senha”, com bolinhas ao digitar a senha; [0,05]
5.Botão com texto “Entrar”; [0,05]
6.Link com texto “Esqueceu a senha? Redefina aqui.”; [0,05]
7.Link com texto “Novo(a) por aqui? Cadastre-se aqui.”; [0,05]</t>
  </si>
  <si>
    <t>1.Título com o texto “Faça parte da família Case4You e tenha acesso às melhores cases! [0,05]
2.Subtítulo “Dados Gerais” [0,05]
3.Input com placeholder “Nome Completo”; [0,05]
4.Input com placeholder “CPF”; [0,05]
5.Input com placeholder “Data nascimento”; [0,05]
6.Input com placeholder “Email”; [0,05]
7.Input com placeholder “Telefone”; [0,05]
8.Subtítulo “Senha” [0,05]
9.Input com placeholder “Senha”, com bolinhas ao digitar a senha; [0,05]
10.Input com placeholder “Confirme sua Senha”, com bolinhas ao digitar a senha; [0,05]
11.Botão com texto “Cadastrar”; [0,05]
12.Link com o texto “Já é cadastrado(a)? Voltar.” [0,05]
13.Barra de progresso do cadastro. [0,05]</t>
  </si>
  <si>
    <t>1.Botão de menu; [0,05]
2.Ícone de avatar com foto do usuário; [0,05]
3.Barra de busca/pesquisa com texto “O que você precisa?” [0,05] e ícone de lupa; [0,05]
4.Subtítulo “Últimos lançamentos”; [0,05]
5.Cards divididos em duas colunas contendo: 1 foto do produto (A primeira fornecida pela API); [0,05] Nome do produto;  [0,05] Preço do produto; [0,05] Ícone de “like” representado por um coração [0,05];
6.Barra de menu lateral com os itens: Botão voltar para fechar o menu “&lt;”; [0,05] Item “Home”; [0,05] Item “Meu Perfil”; [0,05] Item “Pedidos” [0,05] Item “Sair” [0,05]</t>
  </si>
  <si>
    <t>Home: Requisitos funcionais</t>
  </si>
  <si>
    <t>Modal Detalhes do Produto: Componentes visuais</t>
  </si>
  <si>
    <t>1.Primeira imagem do produto; [0,05]
2.Bolinhas representando quantas imagens o produto possui e qual imagem está sendo exibida. [0,05]
3.Subtítulo contendo o nome do produto [0,05]
4.Preço do produto [0,05]
5.Botão com o texto “Fazer pedido” [0,05]
6.Botão com o texto “Cancelar” [0,05]
7.Subtítulo “Detalhes” [0,05]
8.Texto contendo a descrição do produto [0,05]</t>
  </si>
  <si>
    <t>Modal Detahes do Produto: Requisitos funcionais</t>
  </si>
  <si>
    <t>1.	Título “Checkout”; [0,05]
2.	Subtítulo “Resumo da Compra” [0,05]
3.	Foto do produto [0,05]
4.	Nome do produto [0,05]
5.	Preço do produto [0,05]
6.	Subtítulo “Dados pessoais” [0,05]
7.	Input desabilitado com o nome do usuário [0,05]
8.	Input desabilitado com o e-mail do usuário [0,05]
9.	Input desabilitado com o telefone do usuário [0,05]
10.	Subtítulo “Dados de Entrega” [0,05]
11.	Input com o placeholder “CEP” [0,05]
12.	Input com o placeholder “Rua, Avenida, etc.” [0,05]
13.	Input com o placeholder “Numero” [0,05]
14.	Input com o placeholder “Complemento” [0,05]
15.	Subtítulo “Dados de Pagamento” [0,05]
16.	Input com o placeholder “Numero do Cartão” [0,05]
17.	Input com o placeholder “Data de expiração” [0,05]
18.	Input com o placeholder “CVV” [0,05]
19.	Botão com o texto “Pagar” [0,05]</t>
  </si>
  <si>
    <t>Checkout: Requisitos funcionais</t>
  </si>
  <si>
    <t>Pedidos: Componentes visuais</t>
  </si>
  <si>
    <t>1.	Botão de menu [0,05];
2.	Icone com o avatar do usuário [0,05];
3.	Título “Meus Pedidos”; [0,05];
4.	Item de lista contendo: Foto do produto [0,05]; Nome do produto [0,05]; Data da compra [0,05];</t>
  </si>
  <si>
    <t>Pedidos: Requisitos funcionais</t>
  </si>
  <si>
    <t>1.	Esta tela deve apresentar somente os pedidos feitos pelo usuário logado em forma de lista.[0,20]
2.	O botão de menu deve abrir os mesmos itens da tela Home. (Botão voltar para fechar o menu “&lt;”; [0,05] Item “Home”; [0,05] Item “Meu Perfil”; [0,05] Item “Pedidos” [0,05] Item “Sair” [0,05])</t>
  </si>
  <si>
    <t>Perfiil: Componentes visuais</t>
  </si>
  <si>
    <t>Perfil: Requisitos funcionais</t>
  </si>
  <si>
    <t>1.	Título “Avatar”; [0,05];
2.	Espaço para a imagem de avatar do usuário [0,05];
3.	Ícone de câmera no canto superior direito da área de imagem. [0,05];
4.	Subtítulo “Dados Gerais” [0,05];
5.	Input preenchido com o nome do usuário [0,05];
6.	Input preenchido com o CPF do usuário [0,05];
7.	Input preenchido com o e-mail do usuário [0,05];
8.	Input preenchido com a data de nascimento do usuário [0,05];
9.	Input preenchido com o telefone do usuário [0,05];
10.	Subtítulo “Senha” [0,05];
11.	Input vazio para a senha do usuário [0,05];
12.	Input vazio para confirmar a senha do usuário [0,05];
13.	Botão com o texto “Atualizar” [0,05];</t>
  </si>
  <si>
    <t>1. Na telas em que a foto do avatar aparece, ao dar um tap nela, a tela “Meu Perfil” deve abrir; [0,1]</t>
  </si>
  <si>
    <t>1.A duração da Splash Screen deverá ser de 1,5 segundos; [0,1]
2.A animação de abertura deve apresentar o logotipo aparecendo no centro da tela. [0,2]
3.Deverá ter uma animação de background a escolha do competidor. [0,3]
4. Ao concluir deve ser direcionado para a primeira tela do “Tutorial de Integração” [0,1]</t>
  </si>
  <si>
    <t>Tutorial de Integração 01: Componentes Visuais</t>
  </si>
  <si>
    <t>1.	Logo do aplicativo ou uma imagem que represente a Case4You presente em media-files; [0,05]
2.	Texto de boas-vindas conforme wireframe; [0,05]
3.	Barra de progresso representando as três telas do tutorial; 3 barras [0,05] por barra
4.	Botão com texto “Pular”; [0,05]</t>
  </si>
  <si>
    <t>Tutorial de Integração 01: Requisitos funcionais</t>
  </si>
  <si>
    <t>1.	Todos os elementos da tela devem possuir animação de entrada, vindo das laterais da tela em direção ao centro e se posicionando conforme o wireframe.4 componentes [0,1] por componente
2.	O botão “Pular deve direcionar diretamente para a “Tela de Login” [0,10]
3.	A navegação para a próxima tela do tutorial deve ser com o gesto de swap da direita para a esquerda. [0,2]</t>
  </si>
  <si>
    <t>Tutorial de Integração 02: Componentes Visuais</t>
  </si>
  <si>
    <t>Tutorial de Integração 02: Requisitos funcionais</t>
  </si>
  <si>
    <t>Tutorial de Integração 03: Componentes Visuais</t>
  </si>
  <si>
    <t>Tutorial de Integração 03: Requisitos funcionais</t>
  </si>
  <si>
    <t>1.	O botão “Pular deve direcionar diretamente para a “Tela de Login” [0,1]
2.	A navegação para a próxima tela do tutorial deve ser com o gesto de swap da direita para a esquerda. [0,2]
3.	A tela deve permitir navegação para a tela anterior através do gesto de swap da esquerda para a direita. [0,2]</t>
  </si>
  <si>
    <t>1.	O botão “Logar deve direcionar diretamente para a “Tela de Login” [0,1]
2.	A tela deve permitir navegação para a tela anterior através do gesto de swap da esquerda para a direita. [0,2]</t>
  </si>
  <si>
    <t>Login: Componentes Visuais</t>
  </si>
  <si>
    <t>1.	Logo do aplicativo ou uma imagem que represente a Case4You presente em media-files; [0,05]
2.	Texto de boas vindas conforme wireframe  [0,05]
3.	Input com placeholder “e-mail ou CPF” [0,05]
4.	Input com placeholder “senha” [0,05]
5.	Botão com texto “entrar” [0,05]</t>
  </si>
  <si>
    <t>Login: Requisitos Funcionais</t>
  </si>
  <si>
    <t>1.	Os dados de login devem ser obtidos do arquivo rh.json em media-files; [0,2]
2.	O campo de identificação deve permitir tanto email ou CPF identificando o que o usuário digitou e comparando com os dados no arquivo rh.json  [0,25]
3.	Ao clicar no botão entrar caso os dados estejam corretos deve ser direcionado para a tela “Dashboard”  [0,15];
4. Caso os dados de login estejam errados então deve apresentar uma mensagem tipo toast informando que os dados não estão corretos. [0,15];</t>
  </si>
  <si>
    <t>Dashboard: Requisitos funcionais</t>
  </si>
  <si>
    <t>1.Barra de navegação lateral contendo: Logo do aplicativo [0,05]; Item “home” [0,05]; Item “colaboradores” [0,05]; Item “avaliações” [0,05]; Item “sair” [0,05];
2.	Título “dashboard” [0,05];
3.	Imagem do avatar [0,05];
4.	Card com o texto “total de colaboradores(as)” e o valor [0,05];
5.	Card com o texto “contratações do último trimestre” e o valor [0,05];
6.	Gráfico de pizza mostrando a comparação do “turnover dos últimos 3 meses” e o total de contratação neste período. [0,05];
7.	Card com o texto “satisfação dos colaboradores dos últimos 3 meses” e o valor [0,05];</t>
  </si>
  <si>
    <t>Colaboradores: Requisitos funcionais</t>
  </si>
  <si>
    <t>Modal de cadastro: Componentes visuais</t>
  </si>
  <si>
    <t>Modal de cadastro: Requisitos funcionais</t>
  </si>
  <si>
    <t>Avaliações: Componentes visuais</t>
  </si>
  <si>
    <t>Avaliações: Requisitos funcionais</t>
  </si>
  <si>
    <t>1.	Todos os dados deste dashboard devem ser carregados da API na rota de colaboradores [0,1];
2.	O total de colaboradores deve mostrar quantos colaboradores com status “ativo” a API retornou. [0,15];
3.	Contratações do último trimestre deve mostrar quantos colaboradores possuem data de contratação nos últimos três meses. [0,15];
4.	Turnover dos últimos 3 meses deve mostrar um gráfico de pizza comparando quantos colaboradores possuem data de demissão nos últimos três meses e status “inativo” com o total de colaboradores contratados neste período. [0,2];
5.	A satisfação dos colaboradores deve apresentar a média dos valores das avaliações nos últimos três meses. [0,15];
6.	Cada item do menu deve direcionar para a respectiva tela, o item “home” é esta própria tela e o item sair direcionar para a “Tela de login”. 4 itens [0,1] por item.</t>
  </si>
  <si>
    <t>2.	Barra de navegação lateral contendo os mesmos itens da tela “Dashboard” [0,05]
3.	Título “colaboradores(as)” [0,05]
4.	Ícone de lua para Darkmode; [0,05]
5.	Barra de busca com ícones de filtro e lupa [0,05]
6.	Botão com texto “cadastrar colaborador(a)” [0,05]
7.	Subtítulo “lista de colaboradores” [0,05]
8.	Lista de cards em três colunas contendo em cada card: [0,05]
9.	Nome do colaborador [0,05]
10.	Departamento do colaborador [0,05]
11.	Quantos anos desde a contratação do colaborador [0,05]
12.	Ícone de lápis para editar os dados do colaborador [0,05]
13.	Ícone de lixeira para excluir o colaborador [0,05]</t>
  </si>
  <si>
    <t>1.	Todos os cards devem ser carregados com dados obtidos da API na rota de colaboradores [0,10]
2.	O tempo em anos desde a contratação deve ser calculado a partir da data da contratação. [0,15]
3.	Ao clicar no ícone de “Lua” o aplicativo deve ficar em modo escuro, permanecendo um contraste entre os textos e cores de fundo, obedecendo a palheta de cores. [0,10]
4.	Ao escrever o nome ou departamento do colaborador na barra de busca e clicar no ícone de lupa ou filtro os cards devem ser filtrados segundo este critério. [0,20]
5.	Ao clicar em cadastrar colaborador deve ser aberto o “Modal de cadastro” [0,10]
6.	O nome do colaborador e departamento devem ser editáveis e ao clicar no ícone de lápis [0,15]
7.	A atualização do nome e departamento devem ser atualizados na API. [0,15]
8.	Ao clicar no ícone da lixeira deve aparecer uma janela de confirmação de exclusão e caso positivo o colaborador deve ser excluído da API e da tela/lista [0,15]
9.	Deve haver um botão para cancelar na janela de confirmação da exclusão. [0,10]</t>
  </si>
  <si>
    <t>1.	Título “cadastro colaborador(a)”; [0,05]
2.	Input com placeholder “nome completo” [0,05]
3.	Input com placeholder “departamento” [0,05]
4.	Input com placeholder “data contratação” [0,05]
5.	Input com placeholder “data demissão” [0,05]
6.	Botão com o texto “cadastrar” [0,05]</t>
  </si>
  <si>
    <t>1.	Todos os dados do formulário são obrigatórios menos a data demissão. 3 campos [0,1] por campo;
2.	Ao clicar em “cadastrar” os dados devem ser enviados para a API. [0,15]
3.	Ao clicar em qualquer área fora do modal o mesmo deve fechar. [0,05]</t>
  </si>
  <si>
    <t>1.	Menu lateral com os mesmos itens da tela dashboard [0,05]
2.	Título “avaliação de clientes”; [0,05]
3.	Barra de busca com ícone de filtro [0,05] e lupa [0,05]
4.	Subtítulo “lista de avaliações” [0,05]
5.	Tabela com as colunas: Cliente [0,05] Área [0,05] Data [0,05] Avaliação [0,05]</t>
  </si>
  <si>
    <t>1.	Esta tela deve apresentar todas as avaliações obtidas da API. [0,10]
2.	A barra de busca deve filtrar tanto por Cliente como por área. [0,20]
3.	As avaliações na API são dados numéricos de 1 a 5 porém devem ser representados por estrelas conforme wireframe.  [0,20]</t>
  </si>
  <si>
    <t>1.Ao clicar no botão de menu lateral o menu deve ser aberto com animação de entrada da esquerda para a direita e apresentar os itens conforme wireframe; [0,10]
2.Os cards de produtos devem ser apresentados com dados obtidos da API. [0,10]
3.No input de “busca/pesquisa”, quando o usuário digitar pelo menos três letras do nome dos produtos  será mostrado todos os produtos que possuírem estas letras como parte do seu nome; [0,10]
4.Deve ser adicionada animação de entrada em todos os cards desta tela, vindo de forma encadeada de baixo para cima e da direita para a esquerda;  [0,15]
5.Ao clicar na foto do produto deve ser aberto um modal de “Detalhes do Produto” exibindo os dados específicos do produto selecionado obtidos da API. [0,10]
6.Ao clicar no item de menu para fechar o “&lt;” o mesmo deve ser recolhido com animação de saída da direita para a esquerda. [0,10]
7.Ao clicar no item “Home” deve ser direcionado para a tela Home [0,05]
8.Ao clicar no item “Meu Perfil” deve ser direcionado para a tela de “Perfil”. [0,05]
9.Ao clicar no item pedidos deve ser direcionado para a tela de “Pedidos” exibindo a lista de pedidos feitos pelo usuário, com dados obtidos da API. [0,10]
10.Ao clicar no item “Sair” deve ser direcionado para a “Tela de Login”. [0,05]
11.Se ao fechar o aplicativo sem clicar no item de menu “Sair” ao abrir novamente o aplicativo, o usuário deve permanecer logado e ser direcionado para a tela Home, após a “Splash Screen”. [0,15];
12.Caso clique em sair e posteriormente feche o aplicativo, ao abrir novamente deve ser direcionado a tela de login após a “Splash Screen”.  [0,15]</t>
  </si>
  <si>
    <t>1.Todos os dados deste modal devem ser carregados da API respectivos ao produto selecionado. [0,10]
2.Devem ser desenhadas bolinhas vazias com quantidades respectivas ao total de fotos do produto na API; [0,15]
3.A primeira bolinha representa a primeira foto e assim respectivamente [0,15]
4.Ao clicar na bolinha respectiva a imagem deve ser mostrada [0,15]
5.Ao clicar no botão “Fazer pedido” deve ser direcionado para a tela de “Checkout”. [0,05]
6.Ao clicar no botão “Cancelar” o modal deve ser fechado. [0,05]</t>
  </si>
  <si>
    <t>1.	Os dados do produto devem ser referentes ao produto selecionado na tela “Home” e no modal de “Detalhes do Produto” [0,15]
2.	Os dados pessoais devem ser os dados do usuário que está logado. [0,15]
3.	Os “Dados de Entrega” devem ser preenchidos e todos os campos obrigatórios. 4 campos [0,05] por campo
4.	Os ”Dados de Pagamento” devem ser preenchidos e todos os campos obrigatórios. 3 campos [0,05] por campo
5.	Ao clicar em “Pagar” o novo pedido deve ser enviado para a API e a tela do aplicativo deve ser direcionada para a tela de “Pedidos” mostrando os pedidos do usuário para que o mesmo possa acompanhar. [0,15]</t>
  </si>
  <si>
    <t>1.	Os dados dos inputs devem ser obtidos da API. [0,10];
2.	Ao clicar no ícone da câmera deve permitir upload de imagem para a API.
- A imagem quando enviada para a API retorna com um nome semehante a este 1746706631719.jpg
- este valor deve ser enviado para o campo com chave “avatar” no documento do usuário via method PATCH e atualizado na API. [0,15];
3.	Caso o usuário possua avatar o mesmo deve ser exibido no espaço da imagem. [0,10];
4.	Os campos de senha e confirmação devem ser preenchidos com bolinhas; [0,10];
5.	Ao clicar em “Atualizar” os dados devem ser atualizados na API a navegação direcionada para a tela “Home”. [0,10];
6.	Se não for digitada nenhuma senha ou confirmação esta não deve ser atualizada e não deve ser permitido clicar em atualizar. [0,10];</t>
  </si>
  <si>
    <t>1.A duração da Splash Screen deverá ser de 5 segundos; [0,15]
2.A animação de abertura deve apresentar o logotipo vindo de baixo pra cima, parando no centro e girando 360º. [0,2]
3.Deverá ter uma animação de background a escolha do competidor. [0,3]</t>
  </si>
  <si>
    <t>1.O ícone de build do app é o disponibilizado na guia de estilos; [0,5]</t>
  </si>
  <si>
    <t>1.Deve ser possível logar na aplicação com um usuário válido, cadastrado na API fornecida; [0,10]
2.Ao tentar logar com um usuário inválido, uma mensagem de erro do tipo Toasty (snackbar) deve ser mostrada em uma cor de destaque escolhida na palheta, com o seguinte texto “Dados de acesso inválidos, tente novamente!”; [0,10]
3.O link “Esqueceu a senha? Redefina aqui.” não precisa ter funcionalidade atribuída. [0,05]
4.O link “Cadastre-se aqui” deve direcionar o usuário para a tela de cadastro; [0,05]
5.Ao clicar em “Logar” com um usuário válido pela API, você deve redirecionar o usuário para a tela Home;  [0,15]
6.Você deve adicionar animação de entrada em todos os componentes desta tela, vindo de forma encadeada de cima para baixo e da direita para a esquerda; 7 componentes  [0,10] por componente
7.Você deve adicionar animação de saída em todos os componentes desta tela, saindo de forma encadeada de cima para baixo e da esquerda para a direita;7 componentes  [0,10] por componente</t>
  </si>
  <si>
    <t>1.Os campos abaixo deverão conter os seguintes formatos: Nome Completo: Formato texto; [0,05] Data de nascimento: Formato Date; [0,05]CPF: Máscara com o seguinte formato: “___.___.___-__”;  [0,05] Telefone:  Máscara com o seguinte formato: “(__)_____-____”; [0,05] E-mail: Formato e-mail; [0,05]. A senha deverá conter: I.No mínimo 8 caracteres; [0,05]; II.1 letra maiúscula; [0,05]; III.1 letra minúscula;  [0,05]; IV.1 número;  [0,05];V .1 caractere especial. [0,05]
2. A senha deve conter um índice de segurança: Senha Fraca (atende nenhum ou 1 critério): [0,10]; Senha Moderada (atende de 2 a 4 critérios): [0,15]; Senha Forte (atende todos os 5 critérios): [0,20].
3.O campo “confirme sua senha” verifica se seu conteúdo e o do campo “Senha” são iguais; [0,10]
4.Assim que o usuário digitar uma informação correta e sair do input, a barra de progresso deverá preencher de forma crescente, até que seja completada 100% para assim finalizar o cadastro;  [0,15]
5.Caso o usuário retire alguma informação, a barra de progresso deverá decrescer; [0,15]
6.O botão “Cadastrar” só ficará disponível caso a barra de progresso estiver 100% preenchida; [0,15]
7.Assim que clicado no botão “Cadastrar”, os dados deverão ser persistidos na API e deverá ser direcionado para a tela de “Login”. [0,15]
8.Enquanto os dados estão sendo persistidos na API, deverá aparecer um círculo de carregamento e assim que o cadastro for finalizado, deverá aparecer uma animação de check, simbolizando que o cadastro foi salvo, cada ícone deve aparecer por pelo menos 30 segundos, mesmo que o cadastro já tenha sido processado. 2 ícones [0,10] por ícone.</t>
  </si>
  <si>
    <t>3. O aplicativo deve ser travado para utilização modo retrato ou paisagem de acordo com a tela proposta. 5 telas [0,10] por tela</t>
  </si>
  <si>
    <t>Demandas Gerais: Modo de tela</t>
  </si>
  <si>
    <t>Demandas Gerais: Menu lateral</t>
  </si>
  <si>
    <t>Personalizasr: Componentes visuais</t>
  </si>
  <si>
    <t>Personalizar: Requisitos funcionais</t>
  </si>
  <si>
    <t>Histórico: Componentes Visuais</t>
  </si>
  <si>
    <t>Histórico: Requisitos funcionais</t>
  </si>
  <si>
    <t>Carrinho: componentes visuais</t>
  </si>
  <si>
    <t>Carrinho: Requisitos funcionais</t>
  </si>
  <si>
    <t>Lojas: Componentes visuais</t>
  </si>
  <si>
    <t>Lojas: Requisitos Funcionais</t>
  </si>
  <si>
    <t>Chat: Componentes visuais</t>
  </si>
  <si>
    <t>Chat: Requisitos Funcionais</t>
  </si>
  <si>
    <t xml:space="preserve">1.	O campo de texto do nome da loja deve recuperar o nome da loja a qual foi acionado o botão do chat vinda da tela Lojas. [0,15] 
2.	Ao abrir a tela a mensagem de áudio deve ser carregada. [0,20] 
3.	Ao clicar no botão “Ouvir mensagem” o áudio deve ser reproduzido. [0,20] 
4.	Ao digitar uma mensagem de texto no campo de input e clicar no botão de “Enviar”, a mensagem deve ser exibida logo abaixo da faixa de áudio. [0,10] 
5.	Junto com a mensagem, no canto superior direito deve ser exibido o horário que a mensagem foi enviada. [0,10] 
6.	A cada nova mensagem digitada no input, esta deve ser exibida sempre abaixo da última. [0,10] 
7.	O botão voltar deve voltar para a tela “Lojas” [0,05] </t>
  </si>
  <si>
    <t>Menu Lateral: Componentes visuais</t>
  </si>
  <si>
    <t>Menu Lateral: Requisitos funcionais</t>
  </si>
  <si>
    <t>1 Deverá haver um sidebar contendo: Personalizar [0,10]; Histórico [0,10]; Carrinho [0,10]; Lojas [0,10]; Chat [0,10]; Sair [0,10]</t>
  </si>
  <si>
    <t>1.	A tela de Personalizar deverá ser exibida ao abrir o aplicativo. [0,10]
2.	Ao clicar na opção Histórico a tela correspondente deve ser aberta. [0,10]
3.	Ao clicar na opção Personalizar a tela correspondente deve ser aberta. [0,10]
4.	Ao clicar na opção Carrinho a tela correspondente deve ser aberta. [0,10]
5.	Ao clicar na opção Lojas a tela correspondente deve ser aberta. [0,10]
6.	Ao clicar na opção Chat a tela correspondente deve ser aberta. [0,10]
7.	Ao clicar na opção de “Sair”, o app deve ser fechado. [0,10]</t>
  </si>
  <si>
    <t>1. Todos os textos dos componentes devem ser exatamente iguais como são escritos neste Projeto Teste; [1,00];</t>
  </si>
  <si>
    <t>5 O menu lateral deve estar presente em todas as telas. 6 telas [0,10] por tela</t>
  </si>
  <si>
    <t>1.	Título “Personalize o seu case” [0,10];
2.	Imagem de fundo simulando uma capinha de celular (arquivo: case.png do media-files) [0,10];
3.	Botão “Escolher imagem” [0,10];
4.	Botão “Limpar” [0,10];
5.	Botão “Finalizar e Salvar” [0,10];
6.	Botão “Adicionar ao Carrinho”  [0,10];</t>
  </si>
  <si>
    <t xml:space="preserve">1.	Botão voltar; [0,10]; 
2.	Texto “Histórico” [0,10]; 
3.	Listagem dos produtos.  [0,10]; 
4. Card de produto com: a.Foto do “case” [0,10]; b.Nome do “case” [0,10]; c.Data da criação [0,10]; d.Ícone para excluir [0,10]; e.Ícone para adicionar ao carrinho. [0,10]; </t>
  </si>
  <si>
    <t>1.	Botão voltar; [0,10]
2.	Título “Carrinho”; [0,10]
3.	Texto o total de itens; [0,10]
4.	Texto com o valor total dos itens; [0,10]
5.	Listagem dos itens; [0,10]
6.	Card de produto com a.Imagem do produto; [0,10] b.Nome do produto; [0,10] c.Ícone para Excluir o item; [0,10]
7.	Botão para Limpar Carrinho; [0,10]
8.	Botão para Criar Produtos. [0,10]</t>
  </si>
  <si>
    <t xml:space="preserve">1.	Botão voltar; [0,10] 
2.	Título “Lojas”; [0,10] 
3.	Mapa [0,10] 
4.	Texto para o Nome da Loja [0,10] 
5.	Texto para o Telefone da Loja [0,10] 
6.	Texto para o Endereço da Loja [0,10] 
7.	Botão Ir [0,10] </t>
  </si>
  <si>
    <t xml:space="preserve">1.	Botão voltar; [0,10] 
2.	Título “Chat”; [0,10] 
3.	Texto com o nome da loja [0,10] 
4.	Faixa de áudio [0,10] 
5.	Botão para “Ouvir mensagem” [0,10] 
6.	Campo de input [0,10] 
7.	Botão de enviar [0,10] </t>
  </si>
  <si>
    <t>1.Pop-Up contendo uma mensagem no topo: “Atenção. Bateria Baixa.”; [0,20]
2.Uma imagem no meio que estará disponível em media-files/bateria.png; [0,20]</t>
  </si>
  <si>
    <t>1. O Pop-Up com o alerta de bateria baixa deverá ser exibido em todas as telas, quando ao usar o aplicativo a bateria do mesmo apresentar 20% de carga ou menos;; 5 telas [0,15] por tela
2.Pop-Up com o alerta de bateria baixa deixará de ser exibido em todas as telas, quando ao usar o aplicativo a bateria do mesmo for acima de 20% de carga. 5 telas [0,15] por tela</t>
  </si>
  <si>
    <t>8.	Caso o usuário opte em cancelar a exclusão, o modal deverá ser fechado. [0,10]
9.	Caso o usuário opte em confirmar a exclusão de um case, este deverá ser removido do arquivo historico.json. [0,20]
10.	Após confirmar a exclusão de um case, a listagem deverá ser atualizada na tela e o case escolhido não deve mais constar nela. [0,20]
11.	Ao clicar no ícone de adicionar ao carrinho de um case deverá ser exibido um modal para confirmar ou não a adição. [0,20]
12.	Caso o usuário opte em cancelar a adição no carrinho, o modal deverá ser fechado. [0,10]
13.	Caso o usuário opte em confirmar a adição de um case ao carrinho, este deverá ser adicionado no arquivo carrinho.json. [0,20]
14.	Após confirmar a adição do case no carrinho, o ícone deverá mudar de cor. (arquivo carrinho_confirma.png no media-files). [0,15]
15.	Após confirmar a exclusão de um case, a listagem deverá ser atualizada na tela e o case escolhido não deve mais constar nela. [0,20]
16. O botão voltar deve voltar para a tela “Personalizar” [0,10]</t>
  </si>
  <si>
    <t xml:space="preserve">1.	Essa tela deve ser utilizada somente no modo retrato. [0,15] 
2.	Os dados iniciais com as informações das lojas devem ser carregados na abertura da tela, através do consumo do arquivo JSON contido em lojas.json. [0,20] 
3.	Cada loja deve aparecer no mapa com um marcador próprio. [0,15] 
4.	Ao clicar no marcador de uma loja devem ser exibidos os seus dados nos campos de texto abaixo da tela. [0,15] 
5.	Ao clicar no botão “Ir Agora!” redirecionar para o google maps a navegação. [0,10] </t>
  </si>
  <si>
    <t xml:space="preserve">1.	Essa tela deve ficar disponível tanto no modo retrato quanto paisagem e iniciar no modo retrato. 2 modos [0,15] por modo
2.	Ao alterar entre os modos (retrato e paisagem) os elementos da tela devem se adequar para que fiquem de modo uniforme e adequado ao formato de tela. [0,10] 
3.	Ao abrir a tela os dados do arquivo historico.json deverão ser carregados e exibidos na listagem conforme wireframe. [0,20] 
4.	A listagem deve permitir a atualização dos itens através do gesto Pull to Refresh tanto no modo retrato quanto no modo paisagem. [0,15] por modo
5.	A atualização da listagem deve recuperar os dados do arquivo historico.json. [0,20]
6.	Ao clicar sobre a foto de um case na listagem será possível visualizá-la em tamanho maior através de um modal tanto no modo retrato quanto no modo paisagem. [0,15] por modo
7.	Ao clicar no ícone de lixeira para excluir um case deverá ser exibido um modal para confirmar ou não a exclusão tanto no modo retrato quanto no modo paisagem. [0,15] por modo
</t>
  </si>
  <si>
    <t>1.	Essa tela deve ser utilizada somente no modo retrato. [0,15] 
2.	Ao abrir a tela os dados do arquivo carrinho.json deverão ser carregados e exibidos na listagem conforme wireframe. [0,20] 
3.	Ao clicar sobre o ícone de excluir deverá ser exibida um modal de confirmação possibilitando que o usuário possa confirmar ou cancelar a exclusão. [0,15] 
4.	Ao clicar em cancelar o modal deverá ser fechado e o item não deve ser removido. [0,10] 
5.	Ao clicar em confirmar o item deve ser excluído do arquivo carrinho.json. [0,20] 
6.	Ao confirmar a exclusão, a lista deve ser atualizara e o item em questão deve ser removido da lista. [0,10] 
7.	O botão Limpar deve remover todos os itens da listagem. [0,15] 
8.	O botão Limpar deve remover todos os itens do arquivo carrinho.json. [0,10] 
9.	O botão Criar Produtos deve abrir a tela de Personalizar [0,10] 
10. O botão voltar deve voltar para a tela “Personalizar” [0,10]</t>
  </si>
  <si>
    <t>1.	Essa tela deve ficar disponível somente em modo retrato. [0,15]
2.	Ao clicar no botão de Escolher imagem deverá ser possível escolher uma ou mais imagens da galeria do dispositivo. [0,10]
3.	A imagem escolhida (uma ou mais) deve permitir o seu posicionamento dentro do “case” através do arrasto da imagem (Drag and Drop). [0,15]
4.	Deve ser possível aplicar o gesto de pinça para aumentar o tamanho da imagem no “case”. [0,15]
5.	Deve ser possível aplicar o gesto de pinça para diminuir o tamanho da imagem no “case”. [0,15]
6.	Ao escolher mais de uma imagem será possível trocar para a próxima imagem através do chacoalhar do celular para a direta. [0,20]
7.	Ao escolher mais de uma imagem será possível trocar para a imagem anterior através do chacoalhar do celular para a esquerda. [0,20]
8.	Ao clicar no botão “Limpar”, toda a edição feita no “case” deve ser removida bem como as imagens escolhidas. [0,10]
9.	Ao clicar no botão “Finalizar e Salvar” deve ser exibido um modal para que seja possível indicar um nome para a capinha a ser salva. O modal deve permitir que seja confirmado o item ou cancelado. [0,10]
10.	Ao confirmar deve ser guardada a edição feita para que o usuário não a perca. As alterações devem ser salvas no arquivo historico.json. Devem ser armazenados um id sequencial, o nome escolhido, a dimensão de largura e altura da imagem de acordo com o zoom aplicado, a posição X e Y do canto superior esquerdo da imagem em relação ao case e o nome do arquivo de foto escolhido da galeria. [0,30]
11.	Ao clicar no botão “Adicionar ao Carrinho” a edição de case feita pelo usuário deve ser salva no arquivo carrinho.json. Devem ser armazenados o nome escolhido, a dimensão de largura e altura da imagem de acordo com o zoom aplicado, a posição X e Y do canto superior esquerdo da imagem em relação ao case e o nome do arquivo de foto escolhido da galeria. [0,30]</t>
  </si>
  <si>
    <t>Demandas Gerais: Tempo</t>
  </si>
  <si>
    <t>Todas as etapas dos testes automatizados precisam ser mantidas por pelo menos 5 segundos;</t>
  </si>
  <si>
    <t>Conformidade com os wireframes</t>
  </si>
  <si>
    <t>O aplicativo não segui o wireframe</t>
  </si>
  <si>
    <t>O aplicativo usou só alguns elementos do wireframes</t>
  </si>
  <si>
    <t>O aplicativo usou boa parte do wireframe</t>
  </si>
  <si>
    <t>O aplicativo seguiu todos os elementos do wireframe.</t>
  </si>
  <si>
    <t>Tela Avaliações - Arquivo avaliacoes.json</t>
  </si>
  <si>
    <t>Utilizou os dados do arquivo avaliacoes.json</t>
  </si>
  <si>
    <t>Demanadas Gerais - Menu lateral</t>
  </si>
  <si>
    <t>Exibiu o menu lateral em todas a telas; 2 telas [0,2] por tela</t>
  </si>
  <si>
    <t>Tela Avaliações - Pesquisa</t>
  </si>
  <si>
    <t xml:space="preserve">Tipo texto </t>
  </si>
  <si>
    <t>Com opção de filtro.</t>
  </si>
  <si>
    <t>Ao começar a digitar a lista deve ser atualizada conforme o texto informado e o filtro aplicado</t>
  </si>
  <si>
    <t>Tela Avaliações - Ícone filtro</t>
  </si>
  <si>
    <t>Deve abrir o modal com opções de filtro</t>
  </si>
  <si>
    <t>Tela Avaliações - Botão de cadastro</t>
  </si>
  <si>
    <t>Deve abrir modal para validação de PIN</t>
  </si>
  <si>
    <t>Tela Avaliações - Lista de pedidos</t>
  </si>
  <si>
    <t>Número do pedido
 - Nota de avaliação
 - Total do pedido
 - Preço total
 - Botão para editar (Abre tela Editar Avaliação)
 - Botão para remover (Abre modal para confirmação, ao confirmar, o item é removido da listagem)
Lista de itens do Pedido, cards com
 - Foto do item
 - Nome
 - Valor</t>
  </si>
  <si>
    <t>Modal de filtro</t>
  </si>
  <si>
    <t>A tela de cadastro deve incluir todos os elementos visuais presentes no wireframe.</t>
  </si>
  <si>
    <t>Ao clicar no X ou fora do modal, este deve ser fechado.</t>
  </si>
  <si>
    <t>Nota do Pedido
Exibir uma listagem com notas de 1 a 5</t>
  </si>
  <si>
    <t>Checkbox de aspectos
Deve possibilitar selecionar quantos aspectos forem necessários.</t>
  </si>
  <si>
    <t>O ícone de calendário para receber a surpresa deve abrir o calendário para que seja possível escolher uma data. Ao clicar na data, esta deve ser escrita no input.</t>
  </si>
  <si>
    <t>Não deve ser permitido digitar uma data direto no campo de “dia para receber uma surpresa”. Somente ao selecionar uma data no calendário quando clicado no ícone.</t>
  </si>
  <si>
    <t>Botão “Filtrar” deve fechar o modal e aplicar a regra de filtro selecionada na listagem da tela.</t>
  </si>
  <si>
    <t>Edição de avaliação PIN</t>
  </si>
  <si>
    <t>Ao acessar o cadastro de avaliação deve ser requisitado o número PIN. Para validar o acesso utilize o número 68431</t>
  </si>
  <si>
    <t>Caso um PIN inválido seja informado, deve ser exibido uma mensagem Toast informando o valor incorreto.</t>
  </si>
  <si>
    <t>Ao clicar no X, o modal deve ser fechado.</t>
  </si>
  <si>
    <t>Edição de avaliação</t>
  </si>
  <si>
    <t>Caso a tela de edição seja acessada via menu lateral, deve ser requisitado o valor do PIN de número 68431 através do modal antes de acessar a tela.</t>
  </si>
  <si>
    <t>Todos os campos são de preenchimento obrigatório</t>
  </si>
  <si>
    <t>Caso algum campo esteja sem preenchimento, deve ser exibida uma mensagem Snackbar informando que não é possível prosseguir.</t>
  </si>
  <si>
    <t>Ao clicar no botão “Atualizar Avaliação”, os dados da avaliação devem ser atualizados no arquivo avaliacoes.json.</t>
  </si>
  <si>
    <t>Ao confirmar a atualização da edição, deve ser exibida a tela de “Avaliações” novamente e fechar a tela de Edição de Avaliação.</t>
  </si>
  <si>
    <t>Cadastro de avaliação</t>
  </si>
  <si>
    <t>A nota do pedido deve exibir uma lista com opções de 1 a 5.</t>
  </si>
  <si>
    <t>Ao menos 1 aspecto deve ser selecionado.</t>
  </si>
  <si>
    <t>Caso algum campo esteja sem preenchimento, deve ser exibida uma mensagem Snackbar informando que “não é possível prosseguir, preencha todos os campos”.</t>
  </si>
  <si>
    <t>Ao clicar no botão “Cadastrar avaliação” e após todos os campos serem validados pelo preenchimento obrigatório, deve ser exibida a tela de “Resumo da avaliação”</t>
  </si>
  <si>
    <t>Resumo da avaliação</t>
  </si>
  <si>
    <t>A tela de Resumo da avaliação deve exibir todos os valores informados na tela de “Cadastro da avaliação”.</t>
  </si>
  <si>
    <t>Ao clicar no botão “Cadastrar avaliação” os dados devem ser armazenados no arquivo avaliacoes.json.</t>
  </si>
  <si>
    <t>Editar da avaliação</t>
  </si>
  <si>
    <t>Ao clicar no botão “Atualizar avaliação” os dados devem ser atualizados no arquivo avaliacoes.json.</t>
  </si>
  <si>
    <t>Pesquisar por nome de cliente</t>
  </si>
  <si>
    <t>Pesquisar de filtro por nota</t>
  </si>
  <si>
    <t>Pesquisar sem diferenciar maiúsculas/minúsculas</t>
  </si>
  <si>
    <t>Pesquisa sem selecionar um aspecto</t>
  </si>
  <si>
    <t>Pesquisar por nome inexistente</t>
  </si>
  <si>
    <t>Pesquisar com caracteres inválidos</t>
  </si>
  <si>
    <t>Pesquisar com apenas espaços</t>
  </si>
  <si>
    <t>Clicar no botão “Editar”</t>
  </si>
  <si>
    <t>Inserir PIN válido</t>
  </si>
  <si>
    <t>Informar um novo texto de descrição</t>
  </si>
  <si>
    <t>Salvar edição de avaliação</t>
  </si>
  <si>
    <t>Clicar no menu “Cadastrar”</t>
  </si>
  <si>
    <t>Preencher todos os campos</t>
  </si>
  <si>
    <t>Clicar em Cadastrar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</si>
</sst>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theme="1"/>
      <name val="Arial"/>
      <family val="2"/>
    </font>
    <font>
      <sz val="8"/>
      <name val="Arial"/>
      <family val="2"/>
    </font>
    <font>
      <sz val="10"/>
      <name val="Arial"/>
      <family val="2"/>
    </font>
    <font>
      <sz val="10"/>
      <color indexed="9"/>
      <name val="Arial"/>
      <family val="2"/>
    </font>
    <font>
      <sz val="16"/>
      <name val="Arial"/>
      <family val="2"/>
    </font>
    <font>
      <sz val="16"/>
      <color indexed="8"/>
      <name val="Arial"/>
      <family val="2"/>
    </font>
    <font>
      <sz val="10"/>
      <color rgb="FFFFFFFF"/>
      <name val="Arial"/>
      <family val="2"/>
    </font>
    <font>
      <sz val="18"/>
      <color indexed="9"/>
      <name val="Arial"/>
      <family val="2"/>
    </font>
    <font>
      <sz val="16"/>
      <color indexed="9"/>
      <name val="Arial"/>
      <family val="2"/>
    </font>
    <font>
      <sz val="10"/>
      <name val="Arial"/>
    </font>
    <font>
      <sz val="10"/>
      <color theme="1"/>
      <name val="Calibri"/>
      <family val="2"/>
    </font>
    <font>
      <sz val="7"/>
      <color theme="1"/>
      <name val="Times New Roman"/>
      <family val="1"/>
    </font>
    <font>
      <sz val="10"/>
      <color rgb="FF000000"/>
      <name val="Calibri"/>
      <family val="2"/>
    </font>
    <font>
      <b/>
      <sz val="10"/>
      <color rgb="FF000000"/>
      <name val="Calibri"/>
      <family val="2"/>
    </font>
    <font>
      <b/>
      <sz val="7"/>
      <color rgb="FF000000"/>
      <name val="Times New Roman"/>
      <family val="1"/>
    </font>
    <font>
      <sz val="10"/>
      <color rgb="FF000000"/>
      <name val="Arial"/>
    </font>
  </fonts>
  <fills count="7">
    <fill>
      <patternFill patternType="none"/>
    </fill>
    <fill>
      <patternFill patternType="gray125"/>
    </fill>
    <fill>
      <patternFill patternType="solid">
        <fgColor indexed="55"/>
        <bgColor indexed="64"/>
      </patternFill>
    </fill>
    <fill>
      <patternFill patternType="solid">
        <fgColor rgb="FF969696"/>
        <bgColor rgb="FF000000"/>
      </patternFill>
    </fill>
    <fill>
      <patternFill patternType="none">
        <bgColor indexed="64"/>
      </patternFill>
    </fill>
    <fill>
      <patternFill patternType="solid">
        <fgColor theme="0" tint="-0.34998626667073579"/>
        <bgColor indexed="64"/>
      </patternFill>
    </fill>
    <fill>
      <patternFill patternType="solid">
        <fgColor rgb="FFFFFF00"/>
        <bgColor indexed="64"/>
      </patternFill>
    </fill>
  </fills>
  <borders count="11">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auto="1"/>
      </left>
      <right style="medium">
        <color indexed="8"/>
      </right>
      <top/>
      <bottom/>
      <diagonal/>
    </border>
    <border>
      <left style="medium">
        <color indexed="8"/>
      </left>
      <right style="medium">
        <color indexed="8"/>
      </right>
      <top/>
      <bottom style="medium">
        <color indexed="8"/>
      </bottom>
      <diagonal/>
    </border>
    <border>
      <left/>
      <right style="medium">
        <color indexed="8"/>
      </right>
      <top/>
      <bottom/>
      <diagonal/>
    </border>
    <border>
      <left/>
      <right/>
      <top/>
      <bottom style="medium">
        <color indexed="8"/>
      </bottom>
      <diagonal/>
    </border>
    <border>
      <left/>
      <right style="medium">
        <color indexed="8"/>
      </right>
      <top/>
      <bottom style="medium">
        <color indexed="8"/>
      </bottom>
      <diagonal/>
    </border>
  </borders>
  <cellStyleXfs count="1">
    <xf numFmtId="0" fontId="0" fillId="0" borderId="0"/>
  </cellStyleXfs>
  <cellXfs count="60">
    <xf numFmtId="0" fontId="0" fillId="0" borderId="0" xfId="0"/>
    <xf numFmtId="0" fontId="2" fillId="0" borderId="0" xfId="0" applyFont="1" applyAlignment="1">
      <alignment horizontal="center" vertical="center"/>
    </xf>
    <xf numFmtId="2" fontId="0" fillId="0" borderId="0" xfId="0" applyNumberFormat="1"/>
    <xf numFmtId="0" fontId="3" fillId="2" borderId="1" xfId="0" applyFont="1" applyFill="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2" fontId="4" fillId="0" borderId="0" xfId="0" applyNumberFormat="1" applyFont="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3" fillId="2"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0" fillId="0" borderId="0" xfId="0"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2" fontId="9" fillId="0" borderId="7" xfId="0" applyNumberFormat="1" applyFont="1" applyBorder="1" applyAlignment="1">
      <alignment horizontal="center" vertical="center"/>
    </xf>
    <xf numFmtId="0" fontId="9" fillId="0" borderId="8" xfId="0" applyFont="1" applyBorder="1" applyAlignment="1">
      <alignment horizontal="left" vertical="center"/>
    </xf>
    <xf numFmtId="2" fontId="9" fillId="0" borderId="8" xfId="0" applyNumberFormat="1" applyFont="1" applyBorder="1" applyAlignment="1">
      <alignment horizontal="center" vertical="center"/>
    </xf>
    <xf numFmtId="0" fontId="9" fillId="0" borderId="10" xfId="0" applyFont="1" applyBorder="1" applyAlignment="1">
      <alignment horizontal="left" vertical="center"/>
    </xf>
    <xf numFmtId="0" fontId="2" fillId="0" borderId="8" xfId="0" applyFont="1" applyBorder="1" applyAlignment="1">
      <alignment horizontal="left" vertical="center" wrapText="1"/>
    </xf>
    <xf numFmtId="0" fontId="2" fillId="0" borderId="8" xfId="0" applyFont="1" applyBorder="1" applyAlignment="1">
      <alignment horizontal="left" vertical="center"/>
    </xf>
    <xf numFmtId="0" fontId="9" fillId="0" borderId="8" xfId="0" applyFont="1" applyBorder="1" applyAlignment="1">
      <alignment horizontal="left" vertical="center" wrapText="1"/>
    </xf>
    <xf numFmtId="0" fontId="9" fillId="0" borderId="8" xfId="0" applyFont="1" applyBorder="1" applyAlignment="1">
      <alignment horizontal="center" vertical="center"/>
    </xf>
    <xf numFmtId="0" fontId="10" fillId="0" borderId="0" xfId="0" applyFont="1" applyAlignment="1">
      <alignment vertical="center"/>
    </xf>
    <xf numFmtId="0" fontId="13" fillId="0" borderId="0" xfId="0" applyFont="1" applyAlignment="1">
      <alignment vertical="center"/>
    </xf>
    <xf numFmtId="2" fontId="9" fillId="0" borderId="6" xfId="0" applyNumberFormat="1" applyFont="1" applyBorder="1" applyAlignment="1">
      <alignment horizontal="center" vertical="center"/>
    </xf>
    <xf numFmtId="0" fontId="2" fillId="0" borderId="6" xfId="0" applyFont="1" applyBorder="1" applyAlignment="1">
      <alignment horizontal="center" vertical="center"/>
    </xf>
    <xf numFmtId="2" fontId="2" fillId="0" borderId="8" xfId="0" applyNumberFormat="1" applyFont="1" applyBorder="1" applyAlignment="1">
      <alignment horizontal="center" vertical="center"/>
    </xf>
    <xf numFmtId="0" fontId="15" fillId="0" borderId="8" xfId="0" applyFont="1" applyBorder="1" applyAlignment="1">
      <alignment horizontal="left" vertical="center" wrapText="1"/>
    </xf>
    <xf numFmtId="0" fontId="9" fillId="0" borderId="6" xfId="0" applyFont="1" applyBorder="1" applyAlignment="1">
      <alignment horizontal="left" vertical="center" wrapText="1"/>
    </xf>
    <xf numFmtId="2" fontId="9" fillId="4" borderId="8" xfId="0" applyNumberFormat="1" applyFont="1" applyFill="1" applyBorder="1" applyAlignment="1">
      <alignment horizontal="center" vertical="center"/>
    </xf>
    <xf numFmtId="2" fontId="9" fillId="4" borderId="6" xfId="0" applyNumberFormat="1" applyFont="1" applyFill="1" applyBorder="1" applyAlignment="1">
      <alignment horizontal="center" vertical="center"/>
    </xf>
    <xf numFmtId="0" fontId="9" fillId="5" borderId="6" xfId="0" applyFont="1" applyFill="1" applyBorder="1" applyAlignment="1">
      <alignment horizontal="center" vertical="center"/>
    </xf>
    <xf numFmtId="0" fontId="9" fillId="5" borderId="8" xfId="0" applyFont="1" applyFill="1" applyBorder="1" applyAlignment="1">
      <alignment horizontal="left" vertical="center"/>
    </xf>
    <xf numFmtId="0" fontId="2" fillId="5" borderId="8" xfId="0" applyFont="1" applyFill="1" applyBorder="1" applyAlignment="1">
      <alignment horizontal="left" vertical="center" wrapText="1"/>
    </xf>
    <xf numFmtId="0" fontId="9" fillId="6" borderId="6" xfId="0" applyFont="1" applyFill="1" applyBorder="1" applyAlignment="1">
      <alignment horizontal="center" vertical="center"/>
    </xf>
    <xf numFmtId="0" fontId="9" fillId="6" borderId="8" xfId="0" applyFont="1" applyFill="1" applyBorder="1" applyAlignment="1">
      <alignment horizontal="left" vertical="center"/>
    </xf>
    <xf numFmtId="0" fontId="0" fillId="0" borderId="0" xfId="0" applyAlignment="1">
      <alignment vertical="center"/>
    </xf>
    <xf numFmtId="0" fontId="9" fillId="0" borderId="8" xfId="0" applyFont="1" applyBorder="1" applyAlignment="1">
      <alignment horizontal="left" vertical="center"/>
    </xf>
    <xf numFmtId="0" fontId="0" fillId="0" borderId="0" xfId="0"/>
    <xf numFmtId="0" fontId="0" fillId="4" borderId="8" xfId="0" applyFill="1" applyBorder="1"/>
    <xf numFmtId="0" fontId="9" fillId="0" borderId="10" xfId="0" applyFont="1" applyBorder="1" applyAlignment="1">
      <alignment horizontal="left" vertical="center"/>
    </xf>
    <xf numFmtId="0" fontId="0" fillId="4" borderId="9" xfId="0" applyFill="1" applyBorder="1"/>
    <xf numFmtId="0" fontId="0" fillId="4" borderId="10" xfId="0" applyFill="1" applyBorder="1"/>
    <xf numFmtId="0" fontId="0" fillId="0" borderId="8" xfId="0" applyBorder="1"/>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9" xfId="0" applyBorder="1"/>
    <xf numFmtId="0" fontId="0" fillId="0" borderId="10" xfId="0" applyBorder="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8"/>
  <sheetViews>
    <sheetView tabSelected="1" topLeftCell="A189" zoomScale="85" zoomScaleNormal="85" workbookViewId="0">
      <selection activeCell="K202" sqref="K202"/>
    </sheetView>
  </sheetViews>
  <sheetFormatPr defaultColWidth="8.85546875" defaultRowHeight="12.75" x14ac:dyDescent="0.2"/>
  <cols>
    <col min="1" max="1" width="6.140625" customWidth="1"/>
    <col min="2" max="2" width="8.7109375" customWidth="1"/>
    <col min="3" max="3" width="3.85546875" customWidth="1"/>
    <col min="4" max="4" width="6" customWidth="1"/>
    <col min="5" max="5" width="33" customWidth="1"/>
    <col min="6" max="6" width="8" customWidth="1"/>
    <col min="7" max="7" width="96.7109375" customWidth="1"/>
    <col min="8" max="8" width="3.85546875" customWidth="1"/>
    <col min="9" max="9" width="6.140625" customWidth="1"/>
    <col min="10" max="12" width="6.28515625" customWidth="1"/>
    <col min="13" max="13" width="4.140625" customWidth="1"/>
    <col min="14" max="14" width="10.7109375" bestFit="1" customWidth="1"/>
  </cols>
  <sheetData>
    <row r="1" spans="1:11" ht="24" thickBot="1" x14ac:dyDescent="0.25">
      <c r="A1" s="57" t="s">
        <v>0</v>
      </c>
      <c r="B1" s="58"/>
      <c r="C1" s="58"/>
      <c r="D1" s="58"/>
      <c r="E1" s="58"/>
      <c r="F1" s="58"/>
      <c r="G1" s="58"/>
      <c r="H1" s="58"/>
      <c r="I1" s="58"/>
      <c r="J1" s="58"/>
      <c r="K1" s="59"/>
    </row>
    <row r="2" spans="1:11" ht="13.5" thickBot="1" x14ac:dyDescent="0.25">
      <c r="C2" s="1"/>
      <c r="E2" s="1"/>
      <c r="J2" s="1"/>
    </row>
    <row r="3" spans="1:11" ht="21" thickBot="1" x14ac:dyDescent="0.25">
      <c r="A3" s="44" t="s">
        <v>1</v>
      </c>
      <c r="B3" s="45"/>
      <c r="C3" s="45"/>
      <c r="D3" s="45"/>
      <c r="E3" s="45"/>
      <c r="F3" s="45"/>
      <c r="G3" s="45"/>
      <c r="H3" s="45"/>
      <c r="I3" s="45"/>
      <c r="J3" s="45"/>
      <c r="K3" s="46"/>
    </row>
    <row r="4" spans="1:11" ht="39" thickBot="1" x14ac:dyDescent="0.25">
      <c r="A4" s="9" t="s">
        <v>2</v>
      </c>
      <c r="B4" s="54" t="s">
        <v>3</v>
      </c>
      <c r="C4" s="55"/>
      <c r="D4" s="55"/>
      <c r="E4" s="55"/>
      <c r="F4" s="55"/>
      <c r="G4" s="55"/>
      <c r="H4" s="56"/>
      <c r="I4" s="10" t="s">
        <v>3</v>
      </c>
      <c r="J4" s="10" t="s">
        <v>4</v>
      </c>
      <c r="K4" s="10" t="s">
        <v>5</v>
      </c>
    </row>
    <row r="5" spans="1:11" x14ac:dyDescent="0.2">
      <c r="A5" s="12">
        <v>1</v>
      </c>
      <c r="B5" s="37" t="s">
        <v>6</v>
      </c>
      <c r="C5" s="38"/>
      <c r="D5" s="38"/>
      <c r="E5" s="38"/>
      <c r="F5" s="38"/>
      <c r="G5" s="38"/>
      <c r="H5" s="43"/>
      <c r="I5" s="16">
        <v>8</v>
      </c>
      <c r="J5" s="24">
        <f>SUMIF(I29:I267,A5,K29:K267)</f>
        <v>8.0500000000000025</v>
      </c>
      <c r="K5" s="24">
        <f t="shared" ref="K5:K11" si="0">ABS(I5-J5)</f>
        <v>5.0000000000002487E-2</v>
      </c>
    </row>
    <row r="6" spans="1:11" x14ac:dyDescent="0.2">
      <c r="A6" s="12">
        <v>2</v>
      </c>
      <c r="B6" s="37" t="s">
        <v>7</v>
      </c>
      <c r="C6" s="38"/>
      <c r="D6" s="38"/>
      <c r="E6" s="38"/>
      <c r="F6" s="38"/>
      <c r="G6" s="38"/>
      <c r="H6" s="43"/>
      <c r="I6" s="29">
        <v>7</v>
      </c>
      <c r="J6" s="30">
        <f>SUMIF(I29:I267,A6,K29:K267)</f>
        <v>7</v>
      </c>
      <c r="K6" s="30">
        <f t="shared" si="0"/>
        <v>0</v>
      </c>
    </row>
    <row r="7" spans="1:11" x14ac:dyDescent="0.2">
      <c r="A7" s="12">
        <v>3</v>
      </c>
      <c r="B7" s="37" t="s">
        <v>8</v>
      </c>
      <c r="C7" s="38"/>
      <c r="D7" s="38"/>
      <c r="E7" s="38"/>
      <c r="F7" s="38"/>
      <c r="G7" s="38"/>
      <c r="H7" s="43"/>
      <c r="I7" s="29">
        <v>5</v>
      </c>
      <c r="J7" s="30">
        <f>SUMIF(I29:I267,A7,K29:K267)</f>
        <v>5.15</v>
      </c>
      <c r="K7" s="30">
        <f t="shared" si="0"/>
        <v>0.15000000000000036</v>
      </c>
    </row>
    <row r="8" spans="1:11" x14ac:dyDescent="0.2">
      <c r="A8" s="12">
        <v>4</v>
      </c>
      <c r="B8" s="37" t="s">
        <v>9</v>
      </c>
      <c r="C8" s="38"/>
      <c r="D8" s="38"/>
      <c r="E8" s="38"/>
      <c r="F8" s="38"/>
      <c r="G8" s="38"/>
      <c r="H8" s="43"/>
      <c r="I8" s="29">
        <v>25</v>
      </c>
      <c r="J8" s="30">
        <f>SUMIF(I29:I267,A8,K29:K267)</f>
        <v>24.899999999999995</v>
      </c>
      <c r="K8" s="30">
        <f t="shared" si="0"/>
        <v>0.10000000000000497</v>
      </c>
    </row>
    <row r="9" spans="1:11" x14ac:dyDescent="0.2">
      <c r="A9" s="12">
        <v>5</v>
      </c>
      <c r="B9" s="37" t="s">
        <v>10</v>
      </c>
      <c r="C9" s="38"/>
      <c r="D9" s="38"/>
      <c r="E9" s="38"/>
      <c r="F9" s="38"/>
      <c r="G9" s="38"/>
      <c r="H9" s="43"/>
      <c r="I9" s="29">
        <v>15</v>
      </c>
      <c r="J9" s="30">
        <f>SUMIF(I29:I267,A9,K29:K267)</f>
        <v>15.399999999999997</v>
      </c>
      <c r="K9" s="30">
        <f t="shared" si="0"/>
        <v>0.3999999999999968</v>
      </c>
    </row>
    <row r="10" spans="1:11" x14ac:dyDescent="0.2">
      <c r="A10" s="12">
        <v>6</v>
      </c>
      <c r="B10" s="37" t="s">
        <v>11</v>
      </c>
      <c r="C10" s="38"/>
      <c r="D10" s="38"/>
      <c r="E10" s="38"/>
      <c r="F10" s="38"/>
      <c r="G10" s="38"/>
      <c r="H10" s="43"/>
      <c r="I10" s="29">
        <v>30</v>
      </c>
      <c r="J10" s="30">
        <f>SUMIF(I30:I268,A10,K30:K268)</f>
        <v>29.700000000000003</v>
      </c>
      <c r="K10" s="30">
        <f t="shared" ref="K10" si="1">ABS(I10-J10)</f>
        <v>0.29999999999999716</v>
      </c>
    </row>
    <row r="11" spans="1:11" ht="13.5" thickBot="1" x14ac:dyDescent="0.25">
      <c r="A11" s="13">
        <v>7</v>
      </c>
      <c r="B11" s="40" t="s">
        <v>12</v>
      </c>
      <c r="C11" s="52"/>
      <c r="D11" s="52"/>
      <c r="E11" s="52"/>
      <c r="F11" s="52"/>
      <c r="G11" s="52"/>
      <c r="H11" s="53"/>
      <c r="I11" s="14">
        <v>10</v>
      </c>
      <c r="J11" s="14">
        <f>SUMIF(I29:I267,A11,K29:K267)</f>
        <v>9.7999999999999954</v>
      </c>
      <c r="K11" s="14">
        <f t="shared" si="0"/>
        <v>0.20000000000000462</v>
      </c>
    </row>
    <row r="12" spans="1:11" ht="13.5" thickBot="1" x14ac:dyDescent="0.25">
      <c r="C12" s="1"/>
      <c r="E12" s="1"/>
      <c r="I12" s="50" t="s">
        <v>13</v>
      </c>
      <c r="J12" s="51"/>
      <c r="K12" s="14">
        <f>SUM(K5:K11)</f>
        <v>1.2000000000000064</v>
      </c>
    </row>
    <row r="13" spans="1:11" x14ac:dyDescent="0.2">
      <c r="C13" s="1"/>
      <c r="E13" s="1"/>
      <c r="I13" s="11"/>
      <c r="J13" s="11"/>
    </row>
    <row r="14" spans="1:11" ht="13.5" thickBot="1" x14ac:dyDescent="0.25">
      <c r="C14" s="1"/>
      <c r="E14" s="1"/>
      <c r="I14" s="11"/>
      <c r="J14" s="1"/>
    </row>
    <row r="15" spans="1:11" ht="21" thickBot="1" x14ac:dyDescent="0.25">
      <c r="A15" s="44" t="s">
        <v>14</v>
      </c>
      <c r="B15" s="45"/>
      <c r="C15" s="45"/>
      <c r="D15" s="45"/>
      <c r="E15" s="45"/>
      <c r="F15" s="45"/>
      <c r="G15" s="45"/>
      <c r="H15" s="45"/>
      <c r="I15" s="45"/>
      <c r="J15" s="45"/>
      <c r="K15" s="46"/>
    </row>
    <row r="16" spans="1:11" ht="13.5" thickBot="1" x14ac:dyDescent="0.25">
      <c r="A16" s="9" t="s">
        <v>15</v>
      </c>
      <c r="B16" s="47" t="s">
        <v>16</v>
      </c>
      <c r="C16" s="48"/>
      <c r="D16" s="48"/>
      <c r="E16" s="48"/>
      <c r="F16" s="48"/>
      <c r="G16" s="48"/>
      <c r="H16" s="48"/>
      <c r="I16" s="48"/>
      <c r="J16" s="49"/>
      <c r="K16" s="9" t="s">
        <v>17</v>
      </c>
    </row>
    <row r="17" spans="1:14" x14ac:dyDescent="0.2">
      <c r="A17" s="12" t="s">
        <v>18</v>
      </c>
      <c r="B17" s="37" t="s">
        <v>19</v>
      </c>
      <c r="C17" s="38"/>
      <c r="D17" s="38"/>
      <c r="E17" s="38"/>
      <c r="F17" s="38"/>
      <c r="G17" s="38"/>
      <c r="H17" s="38"/>
      <c r="I17" s="38"/>
      <c r="J17" s="39"/>
      <c r="K17" s="16">
        <v>30</v>
      </c>
    </row>
    <row r="18" spans="1:14" x14ac:dyDescent="0.2">
      <c r="A18" s="12" t="s">
        <v>20</v>
      </c>
      <c r="B18" s="37" t="s">
        <v>21</v>
      </c>
      <c r="C18" s="38"/>
      <c r="D18" s="38"/>
      <c r="E18" s="38"/>
      <c r="F18" s="38"/>
      <c r="G18" s="38"/>
      <c r="H18" s="38"/>
      <c r="I18" s="38"/>
      <c r="J18" s="39"/>
      <c r="K18" s="16">
        <v>30</v>
      </c>
    </row>
    <row r="19" spans="1:14" x14ac:dyDescent="0.2">
      <c r="A19" s="12" t="s">
        <v>22</v>
      </c>
      <c r="B19" s="37" t="s">
        <v>23</v>
      </c>
      <c r="C19" s="38"/>
      <c r="D19" s="38"/>
      <c r="E19" s="38"/>
      <c r="F19" s="38"/>
      <c r="G19" s="38"/>
      <c r="H19" s="38"/>
      <c r="I19" s="38"/>
      <c r="J19" s="39"/>
      <c r="K19" s="16">
        <v>20</v>
      </c>
    </row>
    <row r="20" spans="1:14" x14ac:dyDescent="0.2">
      <c r="A20" s="12" t="s">
        <v>24</v>
      </c>
      <c r="B20" s="37" t="s">
        <v>25</v>
      </c>
      <c r="C20" s="38"/>
      <c r="D20" s="38"/>
      <c r="E20" s="38"/>
      <c r="F20" s="38"/>
      <c r="G20" s="38"/>
      <c r="H20" s="38"/>
      <c r="I20" s="38"/>
      <c r="J20" s="39"/>
      <c r="K20" s="16">
        <v>20</v>
      </c>
    </row>
    <row r="21" spans="1:14" x14ac:dyDescent="0.2">
      <c r="A21" s="12" t="s">
        <v>26</v>
      </c>
      <c r="B21" s="37"/>
      <c r="C21" s="38"/>
      <c r="D21" s="38"/>
      <c r="E21" s="38"/>
      <c r="F21" s="38"/>
      <c r="G21" s="38"/>
      <c r="H21" s="38"/>
      <c r="I21" s="38"/>
      <c r="J21" s="39"/>
      <c r="K21" s="16"/>
    </row>
    <row r="22" spans="1:14" x14ac:dyDescent="0.2">
      <c r="A22" s="12" t="s">
        <v>27</v>
      </c>
      <c r="B22" s="37"/>
      <c r="C22" s="38"/>
      <c r="D22" s="38"/>
      <c r="E22" s="38"/>
      <c r="F22" s="38"/>
      <c r="G22" s="38"/>
      <c r="H22" s="38"/>
      <c r="I22" s="38"/>
      <c r="J22" s="39"/>
      <c r="K22" s="16"/>
    </row>
    <row r="23" spans="1:14" x14ac:dyDescent="0.2">
      <c r="A23" s="12" t="s">
        <v>28</v>
      </c>
      <c r="B23" s="37"/>
      <c r="C23" s="38"/>
      <c r="D23" s="38"/>
      <c r="E23" s="38"/>
      <c r="F23" s="38"/>
      <c r="G23" s="38"/>
      <c r="H23" s="38"/>
      <c r="I23" s="38"/>
      <c r="J23" s="39"/>
      <c r="K23" s="16"/>
    </row>
    <row r="24" spans="1:14" x14ac:dyDescent="0.2">
      <c r="A24" s="12" t="s">
        <v>29</v>
      </c>
      <c r="B24" s="37"/>
      <c r="C24" s="38"/>
      <c r="D24" s="38"/>
      <c r="E24" s="38"/>
      <c r="F24" s="38"/>
      <c r="G24" s="38"/>
      <c r="H24" s="38"/>
      <c r="I24" s="38"/>
      <c r="J24" s="39"/>
      <c r="K24" s="16"/>
    </row>
    <row r="25" spans="1:14" x14ac:dyDescent="0.2">
      <c r="A25" s="13" t="s">
        <v>30</v>
      </c>
      <c r="B25" s="40"/>
      <c r="C25" s="41"/>
      <c r="D25" s="41"/>
      <c r="E25" s="41"/>
      <c r="F25" s="41"/>
      <c r="G25" s="41"/>
      <c r="H25" s="41"/>
      <c r="I25" s="41"/>
      <c r="J25" s="42"/>
      <c r="K25" s="14"/>
    </row>
    <row r="26" spans="1:14" x14ac:dyDescent="0.2">
      <c r="F26" s="7"/>
      <c r="G26" s="8"/>
      <c r="H26" s="8"/>
      <c r="I26" s="8"/>
      <c r="J26" s="2"/>
    </row>
    <row r="27" spans="1:14" ht="13.5" thickBot="1" x14ac:dyDescent="0.25">
      <c r="C27" s="2"/>
      <c r="H27" s="2"/>
      <c r="I27" s="2"/>
      <c r="J27" s="2"/>
    </row>
    <row r="28" spans="1:14" ht="153.75" thickBot="1" x14ac:dyDescent="0.25">
      <c r="A28" s="3" t="s">
        <v>31</v>
      </c>
      <c r="B28" s="3" t="s">
        <v>32</v>
      </c>
      <c r="C28" s="3" t="s">
        <v>33</v>
      </c>
      <c r="D28" s="3" t="s">
        <v>34</v>
      </c>
      <c r="E28" s="3" t="s">
        <v>35</v>
      </c>
      <c r="F28" s="3" t="s">
        <v>36</v>
      </c>
      <c r="G28" s="3" t="s">
        <v>37</v>
      </c>
      <c r="H28" s="3" t="s">
        <v>38</v>
      </c>
      <c r="I28" s="3" t="s">
        <v>39</v>
      </c>
      <c r="J28" s="3" t="s">
        <v>40</v>
      </c>
      <c r="K28" s="3" t="s">
        <v>41</v>
      </c>
      <c r="L28" s="4" t="s">
        <v>42</v>
      </c>
      <c r="M28" s="5" t="s">
        <v>43</v>
      </c>
      <c r="N28" s="6">
        <f>SUM(K29:K87)</f>
        <v>30</v>
      </c>
    </row>
    <row r="29" spans="1:14" x14ac:dyDescent="0.2">
      <c r="A29" s="12" t="s">
        <v>44</v>
      </c>
      <c r="B29" s="15" t="s">
        <v>45</v>
      </c>
      <c r="C29" s="12">
        <v>1</v>
      </c>
      <c r="D29" s="15" t="s">
        <v>46</v>
      </c>
      <c r="E29" s="15" t="s">
        <v>46</v>
      </c>
      <c r="F29" s="15" t="s">
        <v>46</v>
      </c>
      <c r="G29" s="15" t="s">
        <v>46</v>
      </c>
      <c r="H29" s="15" t="s">
        <v>46</v>
      </c>
      <c r="I29" s="15" t="s">
        <v>46</v>
      </c>
      <c r="J29" s="15" t="s">
        <v>46</v>
      </c>
      <c r="K29" s="15" t="s">
        <v>46</v>
      </c>
    </row>
    <row r="30" spans="1:14" ht="25.5" x14ac:dyDescent="0.2">
      <c r="A30" s="12" t="s">
        <v>46</v>
      </c>
      <c r="B30" s="15" t="s">
        <v>46</v>
      </c>
      <c r="C30" s="12" t="s">
        <v>46</v>
      </c>
      <c r="D30" s="12" t="s">
        <v>47</v>
      </c>
      <c r="E30" s="19" t="s">
        <v>48</v>
      </c>
      <c r="F30" s="12" t="s">
        <v>46</v>
      </c>
      <c r="G30" s="18" t="s">
        <v>49</v>
      </c>
      <c r="H30" s="15" t="s">
        <v>46</v>
      </c>
      <c r="I30" s="12">
        <v>1</v>
      </c>
      <c r="J30" s="12"/>
      <c r="K30" s="16">
        <v>0.85</v>
      </c>
      <c r="L30" s="2"/>
    </row>
    <row r="31" spans="1:14" ht="25.5" x14ac:dyDescent="0.2">
      <c r="A31" s="12"/>
      <c r="B31" s="15"/>
      <c r="C31" s="12"/>
      <c r="D31" s="12" t="s">
        <v>47</v>
      </c>
      <c r="E31" s="19" t="s">
        <v>134</v>
      </c>
      <c r="F31" s="12"/>
      <c r="G31" s="18" t="s">
        <v>149</v>
      </c>
      <c r="H31" s="15"/>
      <c r="I31" s="12">
        <v>3</v>
      </c>
      <c r="J31" s="12"/>
      <c r="K31" s="16">
        <v>0.5</v>
      </c>
      <c r="L31" s="2"/>
    </row>
    <row r="32" spans="1:14" ht="25.5" x14ac:dyDescent="0.2">
      <c r="A32" s="12"/>
      <c r="B32" s="15"/>
      <c r="C32" s="12"/>
      <c r="D32" s="12" t="s">
        <v>47</v>
      </c>
      <c r="E32" s="19" t="s">
        <v>135</v>
      </c>
      <c r="F32" s="12"/>
      <c r="G32" s="18" t="s">
        <v>179</v>
      </c>
      <c r="H32" s="15"/>
      <c r="I32" s="12">
        <v>3</v>
      </c>
      <c r="J32" s="12"/>
      <c r="K32" s="16">
        <v>0.4</v>
      </c>
      <c r="L32" s="2"/>
    </row>
    <row r="33" spans="1:11" x14ac:dyDescent="0.2">
      <c r="A33" s="12" t="s">
        <v>46</v>
      </c>
      <c r="B33" s="15" t="s">
        <v>46</v>
      </c>
      <c r="C33" s="12" t="s">
        <v>46</v>
      </c>
      <c r="D33" s="12" t="s">
        <v>47</v>
      </c>
      <c r="E33" s="19" t="s">
        <v>50</v>
      </c>
      <c r="F33" s="12" t="s">
        <v>46</v>
      </c>
      <c r="G33" s="19" t="s">
        <v>150</v>
      </c>
      <c r="H33" s="15" t="s">
        <v>46</v>
      </c>
      <c r="I33" s="12">
        <v>4</v>
      </c>
      <c r="J33" s="12"/>
      <c r="K33" s="16">
        <v>0.5</v>
      </c>
    </row>
    <row r="34" spans="1:11" ht="25.5" x14ac:dyDescent="0.2">
      <c r="A34" s="12"/>
      <c r="B34" s="15"/>
      <c r="C34" s="12"/>
      <c r="D34" s="12" t="s">
        <v>47</v>
      </c>
      <c r="E34" s="19" t="s">
        <v>51</v>
      </c>
      <c r="F34" s="12"/>
      <c r="G34" s="18" t="s">
        <v>144</v>
      </c>
      <c r="H34" s="15"/>
      <c r="I34" s="12">
        <v>4</v>
      </c>
      <c r="J34" s="12"/>
      <c r="K34" s="16">
        <v>0.2</v>
      </c>
    </row>
    <row r="35" spans="1:11" ht="114.75" x14ac:dyDescent="0.2">
      <c r="A35" s="12"/>
      <c r="B35" s="15"/>
      <c r="C35" s="12"/>
      <c r="D35" s="12" t="s">
        <v>47</v>
      </c>
      <c r="E35" s="19" t="s">
        <v>52</v>
      </c>
      <c r="F35" s="12"/>
      <c r="G35" s="18" t="s">
        <v>180</v>
      </c>
      <c r="H35" s="15"/>
      <c r="I35" s="12">
        <v>4</v>
      </c>
      <c r="J35" s="12"/>
      <c r="K35" s="16">
        <v>0.85</v>
      </c>
    </row>
    <row r="36" spans="1:11" ht="89.25" x14ac:dyDescent="0.2">
      <c r="A36" s="12"/>
      <c r="B36" s="15"/>
      <c r="C36" s="12"/>
      <c r="D36" s="12" t="s">
        <v>47</v>
      </c>
      <c r="E36" s="19" t="s">
        <v>55</v>
      </c>
      <c r="F36" s="12"/>
      <c r="G36" s="18" t="s">
        <v>177</v>
      </c>
      <c r="H36" s="15"/>
      <c r="I36" s="12">
        <v>4</v>
      </c>
      <c r="J36" s="12"/>
      <c r="K36" s="16">
        <v>0.35</v>
      </c>
    </row>
    <row r="37" spans="1:11" ht="127.5" x14ac:dyDescent="0.2">
      <c r="A37" s="12"/>
      <c r="B37" s="15"/>
      <c r="C37" s="12"/>
      <c r="D37" s="12" t="s">
        <v>47</v>
      </c>
      <c r="E37" s="19" t="s">
        <v>56</v>
      </c>
      <c r="F37" s="12"/>
      <c r="G37" s="18" t="s">
        <v>178</v>
      </c>
      <c r="H37" s="15"/>
      <c r="I37" s="12">
        <v>4</v>
      </c>
      <c r="J37" s="12"/>
      <c r="K37" s="16">
        <v>1</v>
      </c>
    </row>
    <row r="38" spans="1:11" ht="165.75" x14ac:dyDescent="0.2">
      <c r="A38" s="12" t="s">
        <v>46</v>
      </c>
      <c r="B38" s="15" t="s">
        <v>46</v>
      </c>
      <c r="C38" s="12" t="s">
        <v>46</v>
      </c>
      <c r="D38" s="12" t="s">
        <v>47</v>
      </c>
      <c r="E38" s="19" t="s">
        <v>57</v>
      </c>
      <c r="F38" s="12" t="s">
        <v>46</v>
      </c>
      <c r="G38" s="18" t="s">
        <v>176</v>
      </c>
      <c r="H38" s="15" t="s">
        <v>46</v>
      </c>
      <c r="I38" s="12">
        <v>4</v>
      </c>
      <c r="J38" s="12"/>
      <c r="K38" s="16">
        <v>0.65</v>
      </c>
    </row>
    <row r="39" spans="1:11" ht="89.25" x14ac:dyDescent="0.2">
      <c r="A39" s="12" t="s">
        <v>46</v>
      </c>
      <c r="B39" s="15" t="s">
        <v>46</v>
      </c>
      <c r="C39" s="12" t="s">
        <v>46</v>
      </c>
      <c r="D39" s="12" t="s">
        <v>47</v>
      </c>
      <c r="E39" s="19" t="s">
        <v>58</v>
      </c>
      <c r="F39" s="12" t="s">
        <v>46</v>
      </c>
      <c r="G39" s="18" t="s">
        <v>145</v>
      </c>
      <c r="H39" s="15" t="s">
        <v>46</v>
      </c>
      <c r="I39" s="12">
        <v>4</v>
      </c>
      <c r="J39" s="12"/>
      <c r="K39" s="16">
        <v>1.4</v>
      </c>
    </row>
    <row r="40" spans="1:11" ht="76.5" x14ac:dyDescent="0.2">
      <c r="A40" s="12" t="s">
        <v>46</v>
      </c>
      <c r="B40" s="15" t="s">
        <v>46</v>
      </c>
      <c r="C40" s="12" t="s">
        <v>46</v>
      </c>
      <c r="D40" s="12" t="s">
        <v>47</v>
      </c>
      <c r="E40" s="19" t="s">
        <v>136</v>
      </c>
      <c r="F40" s="12" t="s">
        <v>46</v>
      </c>
      <c r="G40" s="18" t="s">
        <v>175</v>
      </c>
      <c r="H40" s="15" t="s">
        <v>46</v>
      </c>
      <c r="I40" s="12">
        <v>4</v>
      </c>
      <c r="J40" s="12"/>
      <c r="K40" s="16">
        <v>0.3</v>
      </c>
    </row>
    <row r="41" spans="1:11" ht="63.75" x14ac:dyDescent="0.2">
      <c r="A41" s="12" t="s">
        <v>46</v>
      </c>
      <c r="B41" s="15" t="s">
        <v>46</v>
      </c>
      <c r="C41" s="12" t="s">
        <v>46</v>
      </c>
      <c r="D41" s="12" t="s">
        <v>47</v>
      </c>
      <c r="E41" s="19" t="s">
        <v>137</v>
      </c>
      <c r="F41" s="12" t="s">
        <v>46</v>
      </c>
      <c r="G41" s="18" t="s">
        <v>146</v>
      </c>
      <c r="H41" s="15" t="s">
        <v>46</v>
      </c>
      <c r="I41" s="12">
        <v>4</v>
      </c>
      <c r="J41" s="12"/>
      <c r="K41" s="16">
        <v>0.75</v>
      </c>
    </row>
    <row r="42" spans="1:11" ht="114.75" x14ac:dyDescent="0.2">
      <c r="A42" s="12" t="s">
        <v>46</v>
      </c>
      <c r="B42" s="15" t="s">
        <v>46</v>
      </c>
      <c r="C42" s="12" t="s">
        <v>46</v>
      </c>
      <c r="D42" s="12" t="s">
        <v>47</v>
      </c>
      <c r="E42" s="19" t="s">
        <v>138</v>
      </c>
      <c r="F42" s="12" t="s">
        <v>46</v>
      </c>
      <c r="G42" s="18" t="s">
        <v>174</v>
      </c>
      <c r="H42" s="15" t="s">
        <v>46</v>
      </c>
      <c r="I42" s="12">
        <v>4</v>
      </c>
      <c r="J42" s="12"/>
      <c r="K42" s="16">
        <v>0.45</v>
      </c>
    </row>
    <row r="43" spans="1:11" ht="76.5" x14ac:dyDescent="0.2">
      <c r="A43" s="12" t="s">
        <v>46</v>
      </c>
      <c r="B43" s="15" t="s">
        <v>46</v>
      </c>
      <c r="C43" s="12" t="s">
        <v>46</v>
      </c>
      <c r="D43" s="12" t="s">
        <v>47</v>
      </c>
      <c r="E43" s="19" t="s">
        <v>139</v>
      </c>
      <c r="F43" s="12" t="s">
        <v>46</v>
      </c>
      <c r="G43" s="18" t="s">
        <v>181</v>
      </c>
      <c r="H43" s="15" t="s">
        <v>46</v>
      </c>
      <c r="I43" s="12">
        <v>4</v>
      </c>
      <c r="J43" s="12"/>
      <c r="K43" s="16">
        <v>0.85</v>
      </c>
    </row>
    <row r="44" spans="1:11" ht="242.25" x14ac:dyDescent="0.2">
      <c r="A44" s="12" t="s">
        <v>46</v>
      </c>
      <c r="B44" s="15" t="s">
        <v>46</v>
      </c>
      <c r="C44" s="12" t="s">
        <v>46</v>
      </c>
      <c r="D44" s="12" t="s">
        <v>47</v>
      </c>
      <c r="E44" s="19" t="s">
        <v>140</v>
      </c>
      <c r="F44" s="12" t="s">
        <v>46</v>
      </c>
      <c r="G44" s="18" t="s">
        <v>173</v>
      </c>
      <c r="H44" s="15" t="s">
        <v>46</v>
      </c>
      <c r="I44" s="12">
        <v>4</v>
      </c>
      <c r="J44" s="12"/>
      <c r="K44" s="16">
        <v>0.95</v>
      </c>
    </row>
    <row r="45" spans="1:11" ht="76.5" x14ac:dyDescent="0.2">
      <c r="A45" s="12" t="s">
        <v>46</v>
      </c>
      <c r="B45" s="15" t="s">
        <v>46</v>
      </c>
      <c r="C45" s="12" t="s">
        <v>46</v>
      </c>
      <c r="D45" s="12" t="s">
        <v>47</v>
      </c>
      <c r="E45" s="19" t="s">
        <v>141</v>
      </c>
      <c r="F45" s="12" t="s">
        <v>46</v>
      </c>
      <c r="G45" s="18" t="s">
        <v>182</v>
      </c>
      <c r="H45" s="15" t="s">
        <v>46</v>
      </c>
      <c r="I45" s="12">
        <v>4</v>
      </c>
      <c r="J45" s="12"/>
      <c r="K45" s="16">
        <v>1.1000000000000001</v>
      </c>
    </row>
    <row r="46" spans="1:11" ht="191.25" x14ac:dyDescent="0.2">
      <c r="A46" s="12"/>
      <c r="B46" s="15"/>
      <c r="C46" s="12"/>
      <c r="D46" s="12" t="s">
        <v>47</v>
      </c>
      <c r="E46" s="19" t="s">
        <v>142</v>
      </c>
      <c r="F46" s="12"/>
      <c r="G46" s="18" t="s">
        <v>172</v>
      </c>
      <c r="H46" s="15"/>
      <c r="I46" s="12">
        <v>4</v>
      </c>
      <c r="J46" s="12"/>
      <c r="K46" s="16">
        <v>0.75</v>
      </c>
    </row>
    <row r="47" spans="1:11" ht="76.5" x14ac:dyDescent="0.2">
      <c r="A47" s="12"/>
      <c r="B47" s="15"/>
      <c r="C47" s="12"/>
      <c r="D47" s="12" t="s">
        <v>47</v>
      </c>
      <c r="E47" s="19" t="s">
        <v>143</v>
      </c>
      <c r="F47" s="12"/>
      <c r="G47" s="18" t="s">
        <v>147</v>
      </c>
      <c r="H47" s="15"/>
      <c r="I47" s="12">
        <v>4</v>
      </c>
      <c r="J47" s="12"/>
      <c r="K47" s="16">
        <v>1.2</v>
      </c>
    </row>
    <row r="48" spans="1:11" x14ac:dyDescent="0.2">
      <c r="A48" s="12" t="s">
        <v>46</v>
      </c>
      <c r="B48" s="15" t="s">
        <v>46</v>
      </c>
      <c r="C48" s="12" t="s">
        <v>46</v>
      </c>
      <c r="D48" s="12" t="s">
        <v>59</v>
      </c>
      <c r="E48" s="15" t="s">
        <v>60</v>
      </c>
      <c r="F48" s="12" t="s">
        <v>46</v>
      </c>
      <c r="G48" s="18" t="s">
        <v>46</v>
      </c>
      <c r="H48" s="15" t="s">
        <v>46</v>
      </c>
      <c r="I48" s="12">
        <v>2</v>
      </c>
      <c r="J48" s="12"/>
      <c r="K48" s="16">
        <v>1</v>
      </c>
    </row>
    <row r="49" spans="1:12" x14ac:dyDescent="0.2">
      <c r="A49" s="12" t="s">
        <v>46</v>
      </c>
      <c r="B49" s="15" t="s">
        <v>46</v>
      </c>
      <c r="C49" s="12" t="s">
        <v>46</v>
      </c>
      <c r="D49" s="12" t="s">
        <v>46</v>
      </c>
      <c r="E49" s="15" t="s">
        <v>46</v>
      </c>
      <c r="F49" s="12">
        <v>0</v>
      </c>
      <c r="G49" s="18" t="s">
        <v>61</v>
      </c>
      <c r="H49" s="15" t="s">
        <v>46</v>
      </c>
      <c r="I49" s="12"/>
      <c r="J49" s="12"/>
      <c r="K49" s="16"/>
    </row>
    <row r="50" spans="1:12" x14ac:dyDescent="0.2">
      <c r="A50" s="12" t="s">
        <v>46</v>
      </c>
      <c r="B50" s="15" t="s">
        <v>46</v>
      </c>
      <c r="C50" s="12" t="s">
        <v>46</v>
      </c>
      <c r="D50" s="12" t="s">
        <v>46</v>
      </c>
      <c r="E50" s="15" t="s">
        <v>46</v>
      </c>
      <c r="F50" s="12">
        <v>1</v>
      </c>
      <c r="G50" s="18" t="s">
        <v>62</v>
      </c>
      <c r="H50" s="15" t="s">
        <v>46</v>
      </c>
      <c r="I50" s="12"/>
      <c r="J50" s="12"/>
      <c r="K50" s="16"/>
    </row>
    <row r="51" spans="1:12" ht="25.5" x14ac:dyDescent="0.2">
      <c r="A51" s="12"/>
      <c r="B51" s="15" t="s">
        <v>46</v>
      </c>
      <c r="C51" s="12" t="s">
        <v>46</v>
      </c>
      <c r="D51" s="12" t="s">
        <v>46</v>
      </c>
      <c r="E51" s="15" t="s">
        <v>46</v>
      </c>
      <c r="F51" s="12">
        <v>2</v>
      </c>
      <c r="G51" s="18" t="s">
        <v>63</v>
      </c>
      <c r="H51" s="15" t="s">
        <v>46</v>
      </c>
      <c r="I51" s="12"/>
      <c r="J51" s="12"/>
      <c r="K51" s="16"/>
    </row>
    <row r="52" spans="1:12" x14ac:dyDescent="0.2">
      <c r="A52" s="12" t="s">
        <v>46</v>
      </c>
      <c r="B52" s="15" t="s">
        <v>46</v>
      </c>
      <c r="C52" s="12" t="s">
        <v>46</v>
      </c>
      <c r="D52" s="12" t="s">
        <v>46</v>
      </c>
      <c r="E52" s="15" t="s">
        <v>46</v>
      </c>
      <c r="F52" s="12">
        <v>3</v>
      </c>
      <c r="G52" s="18" t="s">
        <v>64</v>
      </c>
      <c r="H52" s="15" t="s">
        <v>46</v>
      </c>
      <c r="I52" s="12"/>
      <c r="J52" s="12"/>
      <c r="K52" s="16"/>
    </row>
    <row r="53" spans="1:12" x14ac:dyDescent="0.2">
      <c r="A53" s="12" t="s">
        <v>46</v>
      </c>
      <c r="B53" s="15" t="s">
        <v>46</v>
      </c>
      <c r="C53" s="12" t="s">
        <v>46</v>
      </c>
      <c r="D53" s="12" t="s">
        <v>59</v>
      </c>
      <c r="E53" s="15" t="s">
        <v>65</v>
      </c>
      <c r="F53" s="12" t="s">
        <v>46</v>
      </c>
      <c r="G53" s="18" t="s">
        <v>46</v>
      </c>
      <c r="H53" s="15" t="s">
        <v>46</v>
      </c>
      <c r="I53" s="12">
        <v>2</v>
      </c>
      <c r="J53" s="12"/>
      <c r="K53" s="16">
        <v>1</v>
      </c>
    </row>
    <row r="54" spans="1:12" x14ac:dyDescent="0.2">
      <c r="A54" s="12" t="s">
        <v>46</v>
      </c>
      <c r="B54" s="15" t="s">
        <v>46</v>
      </c>
      <c r="C54" s="12" t="s">
        <v>46</v>
      </c>
      <c r="D54" s="12" t="s">
        <v>46</v>
      </c>
      <c r="E54" s="15" t="s">
        <v>46</v>
      </c>
      <c r="F54" s="12">
        <v>0</v>
      </c>
      <c r="G54" s="18" t="s">
        <v>66</v>
      </c>
      <c r="H54" s="15" t="s">
        <v>46</v>
      </c>
      <c r="I54" s="12"/>
      <c r="J54" s="12"/>
      <c r="K54" s="16"/>
    </row>
    <row r="55" spans="1:12" x14ac:dyDescent="0.2">
      <c r="A55" s="12" t="s">
        <v>46</v>
      </c>
      <c r="B55" s="15" t="s">
        <v>46</v>
      </c>
      <c r="C55" s="12" t="s">
        <v>46</v>
      </c>
      <c r="D55" s="12" t="s">
        <v>46</v>
      </c>
      <c r="E55" s="15" t="s">
        <v>46</v>
      </c>
      <c r="F55" s="12">
        <v>1</v>
      </c>
      <c r="G55" s="18" t="s">
        <v>67</v>
      </c>
      <c r="H55" s="15" t="s">
        <v>46</v>
      </c>
      <c r="I55" s="12"/>
      <c r="J55" s="12"/>
      <c r="K55" s="16"/>
    </row>
    <row r="56" spans="1:12" x14ac:dyDescent="0.2">
      <c r="A56" s="12" t="s">
        <v>46</v>
      </c>
      <c r="B56" s="15" t="s">
        <v>46</v>
      </c>
      <c r="C56" s="12" t="s">
        <v>46</v>
      </c>
      <c r="D56" s="12" t="s">
        <v>46</v>
      </c>
      <c r="E56" s="15" t="s">
        <v>46</v>
      </c>
      <c r="F56" s="12">
        <v>2</v>
      </c>
      <c r="G56" s="18" t="s">
        <v>68</v>
      </c>
      <c r="H56" s="15" t="s">
        <v>46</v>
      </c>
      <c r="I56" s="12"/>
      <c r="J56" s="12"/>
      <c r="K56" s="16"/>
    </row>
    <row r="57" spans="1:12" x14ac:dyDescent="0.2">
      <c r="A57" s="12" t="s">
        <v>46</v>
      </c>
      <c r="B57" s="15" t="s">
        <v>46</v>
      </c>
      <c r="C57" s="12" t="s">
        <v>46</v>
      </c>
      <c r="D57" s="12" t="s">
        <v>46</v>
      </c>
      <c r="E57" s="15" t="s">
        <v>46</v>
      </c>
      <c r="F57" s="12">
        <v>3</v>
      </c>
      <c r="G57" s="18" t="s">
        <v>69</v>
      </c>
      <c r="H57" s="15" t="s">
        <v>46</v>
      </c>
      <c r="I57" s="12"/>
      <c r="J57" s="12"/>
      <c r="K57" s="16"/>
    </row>
    <row r="58" spans="1:12" x14ac:dyDescent="0.2">
      <c r="A58" s="31" t="s">
        <v>70</v>
      </c>
      <c r="B58" s="32" t="s">
        <v>71</v>
      </c>
      <c r="C58" s="31">
        <v>1</v>
      </c>
      <c r="D58" s="32" t="s">
        <v>46</v>
      </c>
      <c r="E58" s="32" t="s">
        <v>46</v>
      </c>
      <c r="F58" s="32" t="s">
        <v>46</v>
      </c>
      <c r="G58" s="33" t="s">
        <v>46</v>
      </c>
      <c r="H58" s="32" t="s">
        <v>46</v>
      </c>
      <c r="I58" s="32" t="s">
        <v>46</v>
      </c>
      <c r="J58" s="32" t="s">
        <v>46</v>
      </c>
      <c r="K58" s="32" t="s">
        <v>46</v>
      </c>
    </row>
    <row r="59" spans="1:12" ht="25.5" x14ac:dyDescent="0.2">
      <c r="A59" s="12" t="s">
        <v>46</v>
      </c>
      <c r="B59" s="15" t="s">
        <v>46</v>
      </c>
      <c r="C59" s="12" t="s">
        <v>46</v>
      </c>
      <c r="D59" s="12" t="s">
        <v>47</v>
      </c>
      <c r="E59" s="19" t="s">
        <v>48</v>
      </c>
      <c r="F59" s="12" t="s">
        <v>46</v>
      </c>
      <c r="G59" s="18" t="s">
        <v>148</v>
      </c>
      <c r="H59" s="15" t="s">
        <v>46</v>
      </c>
      <c r="I59" s="12">
        <v>1</v>
      </c>
      <c r="J59" s="12"/>
      <c r="K59" s="16">
        <v>0.85</v>
      </c>
      <c r="L59" s="2"/>
    </row>
    <row r="60" spans="1:12" ht="25.5" x14ac:dyDescent="0.2">
      <c r="A60" s="12" t="s">
        <v>46</v>
      </c>
      <c r="B60" s="15" t="s">
        <v>46</v>
      </c>
      <c r="C60" s="12" t="s">
        <v>46</v>
      </c>
      <c r="D60" s="12" t="s">
        <v>47</v>
      </c>
      <c r="E60" s="19" t="s">
        <v>134</v>
      </c>
      <c r="F60" s="12"/>
      <c r="G60" s="18" t="s">
        <v>151</v>
      </c>
      <c r="H60" s="15" t="s">
        <v>46</v>
      </c>
      <c r="I60" s="12">
        <v>1</v>
      </c>
      <c r="J60" s="12"/>
      <c r="K60" s="16">
        <v>0.5</v>
      </c>
    </row>
    <row r="61" spans="1:12" x14ac:dyDescent="0.2">
      <c r="A61" s="12"/>
      <c r="B61" s="15" t="s">
        <v>46</v>
      </c>
      <c r="C61" s="12" t="s">
        <v>46</v>
      </c>
      <c r="D61" s="12" t="s">
        <v>47</v>
      </c>
      <c r="E61" s="19" t="s">
        <v>50</v>
      </c>
      <c r="F61" s="12" t="s">
        <v>46</v>
      </c>
      <c r="G61" s="18" t="s">
        <v>152</v>
      </c>
      <c r="H61" s="15" t="s">
        <v>46</v>
      </c>
      <c r="I61" s="12">
        <v>3</v>
      </c>
      <c r="J61" s="12"/>
      <c r="K61" s="16">
        <v>0.5</v>
      </c>
    </row>
    <row r="62" spans="1:12" x14ac:dyDescent="0.2">
      <c r="A62" s="12"/>
      <c r="B62" s="15" t="s">
        <v>46</v>
      </c>
      <c r="C62" s="12" t="s">
        <v>46</v>
      </c>
      <c r="D62" s="12" t="s">
        <v>47</v>
      </c>
      <c r="E62" s="19" t="s">
        <v>51</v>
      </c>
      <c r="F62" s="12"/>
      <c r="G62" s="18" t="s">
        <v>153</v>
      </c>
      <c r="H62" s="15"/>
      <c r="I62" s="12">
        <v>4</v>
      </c>
      <c r="J62" s="12"/>
      <c r="K62" s="16">
        <v>0.1</v>
      </c>
    </row>
    <row r="63" spans="1:12" ht="76.5" x14ac:dyDescent="0.2">
      <c r="A63" s="12"/>
      <c r="B63" s="15" t="s">
        <v>46</v>
      </c>
      <c r="C63" s="12" t="s">
        <v>46</v>
      </c>
      <c r="D63" s="12" t="s">
        <v>47</v>
      </c>
      <c r="E63" s="19" t="s">
        <v>52</v>
      </c>
      <c r="F63" s="12"/>
      <c r="G63" s="18" t="s">
        <v>154</v>
      </c>
      <c r="H63" s="15"/>
      <c r="I63" s="12">
        <v>4</v>
      </c>
      <c r="J63" s="12"/>
      <c r="K63" s="16">
        <v>0.75</v>
      </c>
    </row>
    <row r="64" spans="1:12" ht="76.5" x14ac:dyDescent="0.2">
      <c r="A64" s="12"/>
      <c r="B64" s="15" t="s">
        <v>46</v>
      </c>
      <c r="C64" s="12" t="s">
        <v>46</v>
      </c>
      <c r="D64" s="12" t="s">
        <v>47</v>
      </c>
      <c r="E64" s="19" t="s">
        <v>53</v>
      </c>
      <c r="F64" s="12"/>
      <c r="G64" s="18" t="s">
        <v>171</v>
      </c>
      <c r="H64" s="15"/>
      <c r="I64" s="12">
        <v>4</v>
      </c>
      <c r="J64" s="12"/>
      <c r="K64" s="16">
        <v>0.6</v>
      </c>
    </row>
    <row r="65" spans="1:11" ht="63.75" x14ac:dyDescent="0.2">
      <c r="A65" s="12"/>
      <c r="B65" s="15"/>
      <c r="C65" s="12"/>
      <c r="D65" s="12" t="s">
        <v>47</v>
      </c>
      <c r="E65" s="19" t="s">
        <v>54</v>
      </c>
      <c r="F65" s="12"/>
      <c r="G65" s="18" t="s">
        <v>155</v>
      </c>
      <c r="H65" s="15"/>
      <c r="I65" s="12">
        <v>4</v>
      </c>
      <c r="J65" s="12"/>
      <c r="K65" s="16">
        <v>1</v>
      </c>
    </row>
    <row r="66" spans="1:11" ht="63.75" x14ac:dyDescent="0.2">
      <c r="A66" s="12"/>
      <c r="B66" s="15"/>
      <c r="C66" s="12"/>
      <c r="D66" s="12" t="s">
        <v>47</v>
      </c>
      <c r="E66" s="19" t="s">
        <v>55</v>
      </c>
      <c r="F66" s="12"/>
      <c r="G66" s="18" t="s">
        <v>170</v>
      </c>
      <c r="H66" s="15"/>
      <c r="I66" s="12">
        <v>4</v>
      </c>
      <c r="J66" s="12"/>
      <c r="K66" s="16">
        <v>0.25</v>
      </c>
    </row>
    <row r="67" spans="1:11" ht="76.5" x14ac:dyDescent="0.2">
      <c r="A67" s="12"/>
      <c r="B67" s="15"/>
      <c r="C67" s="12"/>
      <c r="D67" s="12" t="s">
        <v>47</v>
      </c>
      <c r="E67" s="19" t="s">
        <v>56</v>
      </c>
      <c r="F67" s="12"/>
      <c r="G67" s="18" t="s">
        <v>156</v>
      </c>
      <c r="H67" s="15"/>
      <c r="I67" s="12">
        <v>4</v>
      </c>
      <c r="J67" s="12"/>
      <c r="K67" s="16">
        <v>0.7</v>
      </c>
    </row>
    <row r="68" spans="1:11" ht="102" x14ac:dyDescent="0.2">
      <c r="A68" s="12"/>
      <c r="B68" s="15"/>
      <c r="C68" s="12"/>
      <c r="D68" s="12" t="s">
        <v>47</v>
      </c>
      <c r="E68" s="19" t="s">
        <v>157</v>
      </c>
      <c r="F68" s="12"/>
      <c r="G68" s="18" t="s">
        <v>169</v>
      </c>
      <c r="H68" s="15"/>
      <c r="I68" s="12">
        <v>4</v>
      </c>
      <c r="J68" s="12"/>
      <c r="K68" s="16">
        <v>0.55000000000000004</v>
      </c>
    </row>
    <row r="69" spans="1:11" ht="89.25" x14ac:dyDescent="0.2">
      <c r="A69" s="12"/>
      <c r="B69" s="15"/>
      <c r="C69" s="12"/>
      <c r="D69" s="12" t="s">
        <v>47</v>
      </c>
      <c r="E69" s="19" t="s">
        <v>158</v>
      </c>
      <c r="F69" s="12"/>
      <c r="G69" s="18" t="s">
        <v>159</v>
      </c>
      <c r="H69" s="15"/>
      <c r="I69" s="12">
        <v>4</v>
      </c>
      <c r="J69" s="12"/>
      <c r="K69" s="16">
        <v>1.4</v>
      </c>
    </row>
    <row r="70" spans="1:11" ht="102" x14ac:dyDescent="0.2">
      <c r="A70" s="12"/>
      <c r="B70" s="15"/>
      <c r="C70" s="12"/>
      <c r="D70" s="12" t="s">
        <v>47</v>
      </c>
      <c r="E70" s="19" t="s">
        <v>160</v>
      </c>
      <c r="F70" s="12"/>
      <c r="G70" s="18" t="s">
        <v>168</v>
      </c>
      <c r="H70" s="15"/>
      <c r="I70" s="12">
        <v>4</v>
      </c>
      <c r="J70" s="12"/>
      <c r="K70" s="16">
        <v>0.8</v>
      </c>
    </row>
    <row r="71" spans="1:11" ht="76.5" x14ac:dyDescent="0.2">
      <c r="A71" s="12"/>
      <c r="B71" s="15"/>
      <c r="C71" s="12"/>
      <c r="D71" s="12" t="s">
        <v>47</v>
      </c>
      <c r="E71" s="19" t="s">
        <v>161</v>
      </c>
      <c r="F71" s="12"/>
      <c r="G71" s="18" t="s">
        <v>183</v>
      </c>
      <c r="H71" s="15"/>
      <c r="I71" s="12">
        <v>4</v>
      </c>
      <c r="J71" s="12"/>
      <c r="K71" s="16">
        <v>1.25</v>
      </c>
    </row>
    <row r="72" spans="1:11" ht="165.75" x14ac:dyDescent="0.2">
      <c r="A72" s="12"/>
      <c r="B72" s="15"/>
      <c r="C72" s="12"/>
      <c r="D72" s="12" t="s">
        <v>47</v>
      </c>
      <c r="E72" s="19" t="s">
        <v>184</v>
      </c>
      <c r="F72" s="12"/>
      <c r="G72" s="18" t="s">
        <v>166</v>
      </c>
      <c r="H72" s="15"/>
      <c r="I72" s="12">
        <v>4</v>
      </c>
      <c r="J72" s="12"/>
      <c r="K72" s="16">
        <v>0.8</v>
      </c>
    </row>
    <row r="73" spans="1:11" ht="76.5" x14ac:dyDescent="0.2">
      <c r="A73" s="12"/>
      <c r="B73" s="15"/>
      <c r="C73" s="12"/>
      <c r="D73" s="12" t="s">
        <v>47</v>
      </c>
      <c r="E73" s="19" t="s">
        <v>185</v>
      </c>
      <c r="F73" s="12"/>
      <c r="G73" s="18" t="s">
        <v>162</v>
      </c>
      <c r="H73" s="15"/>
      <c r="I73" s="12">
        <v>4</v>
      </c>
      <c r="J73" s="12"/>
      <c r="K73" s="16">
        <v>1.5</v>
      </c>
    </row>
    <row r="74" spans="1:11" ht="76.5" x14ac:dyDescent="0.2">
      <c r="A74" s="12"/>
      <c r="B74" s="15"/>
      <c r="C74" s="12"/>
      <c r="D74" s="12" t="s">
        <v>47</v>
      </c>
      <c r="E74" s="19" t="s">
        <v>163</v>
      </c>
      <c r="F74" s="12"/>
      <c r="G74" s="18" t="s">
        <v>167</v>
      </c>
      <c r="H74" s="15"/>
      <c r="I74" s="12">
        <v>4</v>
      </c>
      <c r="J74" s="12"/>
      <c r="K74" s="16">
        <v>0.5</v>
      </c>
    </row>
    <row r="75" spans="1:11" ht="89.25" x14ac:dyDescent="0.2">
      <c r="A75" s="12"/>
      <c r="B75" s="15"/>
      <c r="C75" s="12"/>
      <c r="D75" s="12" t="s">
        <v>47</v>
      </c>
      <c r="E75" s="19" t="s">
        <v>164</v>
      </c>
      <c r="F75" s="12"/>
      <c r="G75" s="18" t="s">
        <v>165</v>
      </c>
      <c r="H75" s="15"/>
      <c r="I75" s="12">
        <v>4</v>
      </c>
      <c r="J75" s="12"/>
      <c r="K75" s="16">
        <v>0.9</v>
      </c>
    </row>
    <row r="76" spans="1:11" x14ac:dyDescent="0.2">
      <c r="A76" s="12"/>
      <c r="B76" s="15" t="s">
        <v>46</v>
      </c>
      <c r="C76" s="12" t="s">
        <v>46</v>
      </c>
      <c r="D76" s="12" t="s">
        <v>59</v>
      </c>
      <c r="E76" s="15" t="s">
        <v>60</v>
      </c>
      <c r="F76" s="12" t="s">
        <v>46</v>
      </c>
      <c r="G76" s="15" t="s">
        <v>46</v>
      </c>
      <c r="H76" s="15" t="s">
        <v>46</v>
      </c>
      <c r="I76" s="12">
        <v>2</v>
      </c>
      <c r="J76" s="12"/>
      <c r="K76" s="16">
        <v>1</v>
      </c>
    </row>
    <row r="77" spans="1:11" x14ac:dyDescent="0.2">
      <c r="A77" s="12"/>
      <c r="B77" s="15" t="s">
        <v>46</v>
      </c>
      <c r="C77" s="12" t="s">
        <v>46</v>
      </c>
      <c r="D77" s="12" t="s">
        <v>46</v>
      </c>
      <c r="E77" s="15" t="s">
        <v>46</v>
      </c>
      <c r="F77" s="12">
        <v>0</v>
      </c>
      <c r="G77" s="15" t="s">
        <v>61</v>
      </c>
      <c r="H77" s="15" t="s">
        <v>46</v>
      </c>
      <c r="I77" s="12"/>
      <c r="J77" s="12"/>
      <c r="K77" s="16"/>
    </row>
    <row r="78" spans="1:11" x14ac:dyDescent="0.2">
      <c r="A78" s="12"/>
      <c r="B78" s="15" t="s">
        <v>46</v>
      </c>
      <c r="C78" s="12" t="s">
        <v>46</v>
      </c>
      <c r="D78" s="12" t="s">
        <v>46</v>
      </c>
      <c r="E78" s="15" t="s">
        <v>46</v>
      </c>
      <c r="F78" s="12">
        <v>1</v>
      </c>
      <c r="G78" s="15" t="s">
        <v>62</v>
      </c>
      <c r="H78" s="15" t="s">
        <v>46</v>
      </c>
      <c r="I78" s="12"/>
      <c r="J78" s="12"/>
      <c r="K78" s="16"/>
    </row>
    <row r="79" spans="1:11" x14ac:dyDescent="0.2">
      <c r="A79" s="12" t="s">
        <v>46</v>
      </c>
      <c r="B79" s="15" t="s">
        <v>46</v>
      </c>
      <c r="C79" s="12" t="s">
        <v>46</v>
      </c>
      <c r="D79" s="12" t="s">
        <v>46</v>
      </c>
      <c r="E79" s="15" t="s">
        <v>46</v>
      </c>
      <c r="F79" s="12">
        <v>2</v>
      </c>
      <c r="G79" s="15" t="s">
        <v>63</v>
      </c>
      <c r="H79" s="15" t="s">
        <v>46</v>
      </c>
      <c r="I79" s="12"/>
      <c r="J79" s="12"/>
      <c r="K79" s="16"/>
    </row>
    <row r="80" spans="1:11" x14ac:dyDescent="0.2">
      <c r="A80" s="12" t="s">
        <v>46</v>
      </c>
      <c r="B80" s="15" t="s">
        <v>46</v>
      </c>
      <c r="C80" s="12" t="s">
        <v>46</v>
      </c>
      <c r="D80" s="12" t="s">
        <v>46</v>
      </c>
      <c r="E80" s="15" t="s">
        <v>46</v>
      </c>
      <c r="F80" s="12">
        <v>3</v>
      </c>
      <c r="G80" s="15" t="s">
        <v>64</v>
      </c>
      <c r="H80" s="15" t="s">
        <v>46</v>
      </c>
      <c r="I80" s="12"/>
      <c r="J80" s="12"/>
      <c r="K80" s="16"/>
    </row>
    <row r="81" spans="1:14" x14ac:dyDescent="0.2">
      <c r="A81" s="12" t="s">
        <v>46</v>
      </c>
      <c r="B81" s="15" t="s">
        <v>46</v>
      </c>
      <c r="C81" s="12" t="s">
        <v>46</v>
      </c>
      <c r="D81" s="12" t="s">
        <v>59</v>
      </c>
      <c r="E81" s="15" t="s">
        <v>65</v>
      </c>
      <c r="F81" s="12" t="s">
        <v>46</v>
      </c>
      <c r="G81" s="15" t="s">
        <v>46</v>
      </c>
      <c r="H81" s="15" t="s">
        <v>46</v>
      </c>
      <c r="I81" s="12">
        <v>2</v>
      </c>
      <c r="J81" s="12"/>
      <c r="K81" s="16">
        <v>1</v>
      </c>
    </row>
    <row r="82" spans="1:14" x14ac:dyDescent="0.2">
      <c r="A82" s="12" t="s">
        <v>46</v>
      </c>
      <c r="B82" s="15" t="s">
        <v>46</v>
      </c>
      <c r="C82" s="12" t="s">
        <v>46</v>
      </c>
      <c r="D82" s="12" t="s">
        <v>46</v>
      </c>
      <c r="E82" s="15" t="s">
        <v>46</v>
      </c>
      <c r="F82" s="12">
        <v>0</v>
      </c>
      <c r="G82" s="15" t="s">
        <v>66</v>
      </c>
      <c r="H82" s="15" t="s">
        <v>46</v>
      </c>
      <c r="I82" s="12"/>
      <c r="J82" s="12"/>
      <c r="K82" s="16"/>
    </row>
    <row r="83" spans="1:14" x14ac:dyDescent="0.2">
      <c r="A83" s="12" t="s">
        <v>46</v>
      </c>
      <c r="B83" s="15" t="s">
        <v>46</v>
      </c>
      <c r="C83" s="12" t="s">
        <v>46</v>
      </c>
      <c r="D83" s="12" t="s">
        <v>46</v>
      </c>
      <c r="E83" s="15" t="s">
        <v>46</v>
      </c>
      <c r="F83" s="12">
        <v>1</v>
      </c>
      <c r="G83" s="15" t="s">
        <v>67</v>
      </c>
      <c r="H83" s="15" t="s">
        <v>46</v>
      </c>
      <c r="I83" s="12"/>
      <c r="J83" s="12"/>
      <c r="K83" s="16"/>
    </row>
    <row r="84" spans="1:14" x14ac:dyDescent="0.2">
      <c r="A84" s="12" t="s">
        <v>46</v>
      </c>
      <c r="B84" s="15" t="s">
        <v>46</v>
      </c>
      <c r="C84" s="12" t="s">
        <v>46</v>
      </c>
      <c r="D84" s="12" t="s">
        <v>46</v>
      </c>
      <c r="E84" s="15" t="s">
        <v>46</v>
      </c>
      <c r="F84" s="12">
        <v>2</v>
      </c>
      <c r="G84" s="15" t="s">
        <v>68</v>
      </c>
      <c r="H84" s="15" t="s">
        <v>46</v>
      </c>
      <c r="I84" s="12"/>
      <c r="J84" s="12"/>
      <c r="K84" s="16"/>
    </row>
    <row r="85" spans="1:14" x14ac:dyDescent="0.2">
      <c r="A85" s="12" t="s">
        <v>46</v>
      </c>
      <c r="B85" s="15" t="s">
        <v>46</v>
      </c>
      <c r="C85" s="12" t="s">
        <v>46</v>
      </c>
      <c r="D85" s="12" t="s">
        <v>46</v>
      </c>
      <c r="E85" s="15" t="s">
        <v>46</v>
      </c>
      <c r="F85" s="12">
        <v>3</v>
      </c>
      <c r="G85" s="15" t="s">
        <v>69</v>
      </c>
      <c r="H85" s="15" t="s">
        <v>46</v>
      </c>
      <c r="I85" s="12"/>
      <c r="J85" s="12"/>
      <c r="K85" s="16"/>
    </row>
    <row r="86" spans="1:14" x14ac:dyDescent="0.2">
      <c r="A86" s="12" t="s">
        <v>46</v>
      </c>
      <c r="B86" s="15"/>
      <c r="C86" s="12"/>
      <c r="D86" s="12"/>
      <c r="E86" s="15"/>
      <c r="F86" s="12"/>
      <c r="G86" s="15"/>
      <c r="H86" s="15"/>
      <c r="I86" s="12"/>
      <c r="J86" s="12"/>
      <c r="K86" s="16"/>
    </row>
    <row r="87" spans="1:14" ht="13.5" thickBot="1" x14ac:dyDescent="0.25">
      <c r="A87" s="12" t="s">
        <v>46</v>
      </c>
      <c r="B87" s="15"/>
      <c r="C87" s="12"/>
      <c r="D87" s="12"/>
      <c r="E87" s="15"/>
      <c r="F87" s="12"/>
      <c r="G87" s="15"/>
      <c r="H87" s="15"/>
      <c r="I87" s="12"/>
      <c r="J87" s="12"/>
      <c r="K87" s="16"/>
    </row>
    <row r="88" spans="1:14" ht="153.75" thickBot="1" x14ac:dyDescent="0.25">
      <c r="A88" s="3" t="s">
        <v>31</v>
      </c>
      <c r="B88" s="3" t="s">
        <v>32</v>
      </c>
      <c r="C88" s="3" t="s">
        <v>33</v>
      </c>
      <c r="D88" s="3" t="s">
        <v>34</v>
      </c>
      <c r="E88" s="3" t="s">
        <v>35</v>
      </c>
      <c r="F88" s="3" t="s">
        <v>36</v>
      </c>
      <c r="G88" s="3" t="s">
        <v>37</v>
      </c>
      <c r="H88" s="3" t="s">
        <v>38</v>
      </c>
      <c r="I88" s="3" t="s">
        <v>39</v>
      </c>
      <c r="J88" s="3" t="s">
        <v>40</v>
      </c>
      <c r="K88" s="3" t="s">
        <v>41</v>
      </c>
      <c r="L88" s="4" t="s">
        <v>72</v>
      </c>
      <c r="M88" s="5" t="s">
        <v>43</v>
      </c>
      <c r="N88" s="6">
        <f>SUM(K89:K155)</f>
        <v>30.000000000000004</v>
      </c>
    </row>
    <row r="89" spans="1:14" x14ac:dyDescent="0.2">
      <c r="A89" s="12" t="s">
        <v>73</v>
      </c>
      <c r="B89" s="15" t="s">
        <v>74</v>
      </c>
      <c r="C89" s="12">
        <v>2</v>
      </c>
      <c r="D89" s="15" t="s">
        <v>46</v>
      </c>
      <c r="E89" s="15" t="s">
        <v>46</v>
      </c>
      <c r="F89" s="15" t="s">
        <v>46</v>
      </c>
      <c r="G89" s="15" t="s">
        <v>46</v>
      </c>
      <c r="H89" s="15" t="s">
        <v>46</v>
      </c>
      <c r="I89" s="15" t="s">
        <v>46</v>
      </c>
      <c r="J89" s="15" t="s">
        <v>46</v>
      </c>
      <c r="K89" s="15" t="s">
        <v>46</v>
      </c>
    </row>
    <row r="90" spans="1:14" ht="25.5" x14ac:dyDescent="0.2">
      <c r="A90" s="12" t="s">
        <v>46</v>
      </c>
      <c r="B90" s="15" t="s">
        <v>46</v>
      </c>
      <c r="C90" s="12" t="s">
        <v>46</v>
      </c>
      <c r="D90" s="12" t="s">
        <v>47</v>
      </c>
      <c r="E90" s="19" t="s">
        <v>48</v>
      </c>
      <c r="F90" s="12" t="s">
        <v>46</v>
      </c>
      <c r="G90" s="18" t="s">
        <v>75</v>
      </c>
      <c r="H90" s="15" t="s">
        <v>46</v>
      </c>
      <c r="I90" s="12">
        <v>1</v>
      </c>
      <c r="J90" s="12"/>
      <c r="K90" s="16">
        <v>0.85</v>
      </c>
      <c r="L90" s="2"/>
    </row>
    <row r="91" spans="1:14" x14ac:dyDescent="0.2">
      <c r="A91" s="12"/>
      <c r="B91" s="15"/>
      <c r="C91" s="12"/>
      <c r="D91" s="12" t="s">
        <v>47</v>
      </c>
      <c r="E91" s="19" t="s">
        <v>76</v>
      </c>
      <c r="F91" s="12"/>
      <c r="G91" s="18" t="s">
        <v>245</v>
      </c>
      <c r="H91" s="15"/>
      <c r="I91" s="12">
        <v>3</v>
      </c>
      <c r="J91" s="12"/>
      <c r="K91" s="16">
        <v>0.5</v>
      </c>
      <c r="L91" s="2"/>
    </row>
    <row r="92" spans="1:14" ht="25.5" x14ac:dyDescent="0.2">
      <c r="A92" s="12"/>
      <c r="B92" s="15"/>
      <c r="C92" s="12"/>
      <c r="D92" s="12" t="s">
        <v>47</v>
      </c>
      <c r="E92" s="19" t="s">
        <v>134</v>
      </c>
      <c r="F92" s="12"/>
      <c r="G92" s="18" t="s">
        <v>151</v>
      </c>
      <c r="H92" s="15" t="s">
        <v>46</v>
      </c>
      <c r="I92" s="12">
        <v>3</v>
      </c>
      <c r="J92" s="12"/>
      <c r="K92" s="16">
        <v>0.5</v>
      </c>
      <c r="L92" s="2"/>
    </row>
    <row r="93" spans="1:14" ht="25.5" x14ac:dyDescent="0.2">
      <c r="A93" s="12"/>
      <c r="B93" s="15"/>
      <c r="C93" s="12"/>
      <c r="D93" s="12" t="s">
        <v>47</v>
      </c>
      <c r="E93" s="19" t="s">
        <v>135</v>
      </c>
      <c r="F93" s="12"/>
      <c r="G93" s="18" t="s">
        <v>186</v>
      </c>
      <c r="H93" s="15"/>
      <c r="I93" s="12">
        <v>6</v>
      </c>
      <c r="J93" s="12"/>
      <c r="K93" s="16">
        <v>0.2</v>
      </c>
      <c r="L93" s="2"/>
    </row>
    <row r="94" spans="1:14" ht="25.5" x14ac:dyDescent="0.2">
      <c r="A94" s="12"/>
      <c r="B94" s="15"/>
      <c r="C94" s="12"/>
      <c r="D94" s="12" t="s">
        <v>47</v>
      </c>
      <c r="E94" s="19" t="s">
        <v>77</v>
      </c>
      <c r="F94" s="12"/>
      <c r="G94" s="18" t="s">
        <v>192</v>
      </c>
      <c r="H94" s="15"/>
      <c r="I94" s="12">
        <v>6</v>
      </c>
      <c r="J94" s="12"/>
      <c r="K94" s="16">
        <v>0.6</v>
      </c>
    </row>
    <row r="95" spans="1:14" x14ac:dyDescent="0.2">
      <c r="A95" s="12" t="s">
        <v>46</v>
      </c>
      <c r="B95" s="15" t="s">
        <v>46</v>
      </c>
      <c r="C95" s="12" t="s">
        <v>46</v>
      </c>
      <c r="D95" s="12" t="s">
        <v>47</v>
      </c>
      <c r="E95" s="19" t="s">
        <v>78</v>
      </c>
      <c r="F95" s="12"/>
      <c r="G95" s="18" t="s">
        <v>193</v>
      </c>
      <c r="H95" s="15" t="s">
        <v>46</v>
      </c>
      <c r="I95" s="12">
        <v>5</v>
      </c>
      <c r="J95" s="12"/>
      <c r="K95" s="16">
        <v>0.1</v>
      </c>
    </row>
    <row r="96" spans="1:14" ht="51" x14ac:dyDescent="0.2">
      <c r="A96" s="12" t="s">
        <v>46</v>
      </c>
      <c r="B96" s="15" t="s">
        <v>46</v>
      </c>
      <c r="C96" s="12" t="s">
        <v>46</v>
      </c>
      <c r="D96" s="12" t="s">
        <v>47</v>
      </c>
      <c r="E96" s="19" t="s">
        <v>79</v>
      </c>
      <c r="F96" s="12"/>
      <c r="G96" s="18" t="s">
        <v>244</v>
      </c>
      <c r="H96" s="15" t="s">
        <v>46</v>
      </c>
      <c r="I96" s="12">
        <v>6</v>
      </c>
      <c r="J96" s="12"/>
      <c r="K96" s="16">
        <v>0.65</v>
      </c>
    </row>
    <row r="97" spans="1:11" ht="89.25" x14ac:dyDescent="0.2">
      <c r="A97" s="12" t="s">
        <v>46</v>
      </c>
      <c r="B97" s="15" t="s">
        <v>46</v>
      </c>
      <c r="C97" s="12" t="s">
        <v>46</v>
      </c>
      <c r="D97" s="12" t="s">
        <v>47</v>
      </c>
      <c r="E97" s="19" t="s">
        <v>55</v>
      </c>
      <c r="F97" s="12"/>
      <c r="G97" s="18" t="s">
        <v>194</v>
      </c>
      <c r="H97" s="15" t="s">
        <v>46</v>
      </c>
      <c r="I97" s="12">
        <v>5</v>
      </c>
      <c r="J97" s="12"/>
      <c r="K97" s="16">
        <v>0.35</v>
      </c>
    </row>
    <row r="98" spans="1:11" ht="153" x14ac:dyDescent="0.2">
      <c r="A98" s="12" t="s">
        <v>46</v>
      </c>
      <c r="B98" s="15" t="s">
        <v>46</v>
      </c>
      <c r="C98" s="12" t="s">
        <v>46</v>
      </c>
      <c r="D98" s="12" t="s">
        <v>47</v>
      </c>
      <c r="E98" s="19" t="s">
        <v>80</v>
      </c>
      <c r="F98" s="12"/>
      <c r="G98" s="18" t="s">
        <v>246</v>
      </c>
      <c r="H98" s="15" t="s">
        <v>46</v>
      </c>
      <c r="I98" s="12">
        <v>6</v>
      </c>
      <c r="J98" s="12"/>
      <c r="K98" s="16">
        <v>1.85</v>
      </c>
    </row>
    <row r="99" spans="1:11" ht="165.75" x14ac:dyDescent="0.2">
      <c r="A99" s="12" t="s">
        <v>46</v>
      </c>
      <c r="B99" s="15" t="s">
        <v>46</v>
      </c>
      <c r="C99" s="12" t="s">
        <v>46</v>
      </c>
      <c r="D99" s="12" t="s">
        <v>47</v>
      </c>
      <c r="E99" s="19" t="s">
        <v>57</v>
      </c>
      <c r="F99" s="12"/>
      <c r="G99" s="18" t="s">
        <v>195</v>
      </c>
      <c r="H99" s="15" t="s">
        <v>46</v>
      </c>
      <c r="I99" s="12">
        <v>5</v>
      </c>
      <c r="J99" s="12"/>
      <c r="K99" s="16">
        <v>0.65</v>
      </c>
    </row>
    <row r="100" spans="1:11" ht="229.5" x14ac:dyDescent="0.2">
      <c r="A100" s="12" t="s">
        <v>46</v>
      </c>
      <c r="B100" s="15" t="s">
        <v>46</v>
      </c>
      <c r="C100" s="12" t="s">
        <v>46</v>
      </c>
      <c r="D100" s="12" t="s">
        <v>47</v>
      </c>
      <c r="E100" s="19" t="s">
        <v>81</v>
      </c>
      <c r="F100" s="12"/>
      <c r="G100" s="18" t="s">
        <v>247</v>
      </c>
      <c r="H100" s="15" t="s">
        <v>46</v>
      </c>
      <c r="I100" s="12">
        <v>6</v>
      </c>
      <c r="J100" s="12"/>
      <c r="K100" s="16">
        <v>1.65</v>
      </c>
    </row>
    <row r="101" spans="1:11" ht="102" x14ac:dyDescent="0.2">
      <c r="A101" s="12" t="s">
        <v>46</v>
      </c>
      <c r="B101" s="15" t="s">
        <v>46</v>
      </c>
      <c r="C101" s="12" t="s">
        <v>46</v>
      </c>
      <c r="D101" s="12" t="s">
        <v>47</v>
      </c>
      <c r="E101" s="19" t="s">
        <v>136</v>
      </c>
      <c r="F101" s="12"/>
      <c r="G101" s="18" t="s">
        <v>196</v>
      </c>
      <c r="H101" s="15" t="s">
        <v>46</v>
      </c>
      <c r="I101" s="12">
        <v>5</v>
      </c>
      <c r="J101" s="12"/>
      <c r="K101" s="16">
        <v>0.7</v>
      </c>
    </row>
    <row r="102" spans="1:11" ht="255" x14ac:dyDescent="0.2">
      <c r="A102" s="25"/>
      <c r="B102" s="19"/>
      <c r="C102" s="25"/>
      <c r="D102" s="25" t="s">
        <v>47</v>
      </c>
      <c r="E102" s="19" t="s">
        <v>197</v>
      </c>
      <c r="F102" s="25"/>
      <c r="G102" s="18" t="s">
        <v>240</v>
      </c>
      <c r="H102" s="19"/>
      <c r="I102" s="25">
        <v>6</v>
      </c>
      <c r="J102" s="25"/>
      <c r="K102" s="26">
        <v>1.2</v>
      </c>
    </row>
    <row r="103" spans="1:11" ht="102" x14ac:dyDescent="0.2">
      <c r="A103" s="12" t="s">
        <v>46</v>
      </c>
      <c r="B103" s="15" t="s">
        <v>46</v>
      </c>
      <c r="C103" s="12" t="s">
        <v>46</v>
      </c>
      <c r="D103" s="12" t="s">
        <v>47</v>
      </c>
      <c r="E103" s="19" t="s">
        <v>198</v>
      </c>
      <c r="F103" s="12"/>
      <c r="G103" s="18" t="s">
        <v>199</v>
      </c>
      <c r="H103" s="15" t="s">
        <v>46</v>
      </c>
      <c r="I103" s="12">
        <v>5</v>
      </c>
      <c r="J103" s="12"/>
      <c r="K103" s="16">
        <v>0.4</v>
      </c>
    </row>
    <row r="104" spans="1:11" ht="89.25" x14ac:dyDescent="0.2">
      <c r="A104" s="12" t="s">
        <v>46</v>
      </c>
      <c r="B104" s="15" t="s">
        <v>46</v>
      </c>
      <c r="C104" s="12" t="s">
        <v>46</v>
      </c>
      <c r="D104" s="12" t="s">
        <v>47</v>
      </c>
      <c r="E104" s="19" t="s">
        <v>200</v>
      </c>
      <c r="F104" s="12"/>
      <c r="G104" s="18" t="s">
        <v>241</v>
      </c>
      <c r="H104" s="15" t="s">
        <v>46</v>
      </c>
      <c r="I104" s="12">
        <v>6</v>
      </c>
      <c r="J104" s="12"/>
      <c r="K104" s="16">
        <v>0.65</v>
      </c>
    </row>
    <row r="105" spans="1:11" ht="242.25" x14ac:dyDescent="0.2">
      <c r="A105" s="12" t="s">
        <v>46</v>
      </c>
      <c r="B105" s="15" t="s">
        <v>46</v>
      </c>
      <c r="C105" s="12" t="s">
        <v>46</v>
      </c>
      <c r="D105" s="12" t="s">
        <v>47</v>
      </c>
      <c r="E105" s="19" t="s">
        <v>140</v>
      </c>
      <c r="F105" s="12"/>
      <c r="G105" s="18" t="s">
        <v>201</v>
      </c>
      <c r="H105" s="15" t="s">
        <v>46</v>
      </c>
      <c r="I105" s="12">
        <v>5</v>
      </c>
      <c r="J105" s="12"/>
      <c r="K105" s="16">
        <v>0.95</v>
      </c>
    </row>
    <row r="106" spans="1:11" ht="102" x14ac:dyDescent="0.2">
      <c r="A106" s="12" t="s">
        <v>46</v>
      </c>
      <c r="B106" s="15" t="s">
        <v>46</v>
      </c>
      <c r="C106" s="12" t="s">
        <v>46</v>
      </c>
      <c r="D106" s="12" t="s">
        <v>47</v>
      </c>
      <c r="E106" s="19" t="s">
        <v>202</v>
      </c>
      <c r="F106" s="12"/>
      <c r="G106" s="18" t="s">
        <v>242</v>
      </c>
      <c r="H106" s="15" t="s">
        <v>46</v>
      </c>
      <c r="I106" s="12">
        <v>6</v>
      </c>
      <c r="J106" s="12"/>
      <c r="K106" s="16">
        <v>0.8</v>
      </c>
    </row>
    <row r="107" spans="1:11" ht="51" x14ac:dyDescent="0.2">
      <c r="A107" s="25" t="s">
        <v>46</v>
      </c>
      <c r="B107" s="19" t="s">
        <v>46</v>
      </c>
      <c r="C107" s="25" t="s">
        <v>46</v>
      </c>
      <c r="D107" s="25" t="s">
        <v>47</v>
      </c>
      <c r="E107" s="19" t="s">
        <v>203</v>
      </c>
      <c r="F107" s="25"/>
      <c r="G107" s="18" t="s">
        <v>204</v>
      </c>
      <c r="H107" s="19" t="s">
        <v>46</v>
      </c>
      <c r="I107" s="25">
        <v>5</v>
      </c>
      <c r="J107" s="25"/>
      <c r="K107" s="26">
        <v>0.3</v>
      </c>
    </row>
    <row r="108" spans="1:11" ht="38.25" x14ac:dyDescent="0.2">
      <c r="A108" s="25" t="s">
        <v>46</v>
      </c>
      <c r="B108" s="19" t="s">
        <v>46</v>
      </c>
      <c r="C108" s="25" t="s">
        <v>46</v>
      </c>
      <c r="D108" s="25" t="s">
        <v>47</v>
      </c>
      <c r="E108" s="19" t="s">
        <v>205</v>
      </c>
      <c r="F108" s="25"/>
      <c r="G108" s="18" t="s">
        <v>206</v>
      </c>
      <c r="H108" s="19" t="s">
        <v>46</v>
      </c>
      <c r="I108" s="25">
        <v>6</v>
      </c>
      <c r="J108" s="25"/>
      <c r="K108" s="26">
        <v>0.45</v>
      </c>
    </row>
    <row r="109" spans="1:11" ht="165.75" x14ac:dyDescent="0.2">
      <c r="A109" s="25" t="s">
        <v>46</v>
      </c>
      <c r="B109" s="19" t="s">
        <v>46</v>
      </c>
      <c r="C109" s="25" t="s">
        <v>46</v>
      </c>
      <c r="D109" s="25" t="s">
        <v>47</v>
      </c>
      <c r="E109" s="19" t="s">
        <v>207</v>
      </c>
      <c r="F109" s="25"/>
      <c r="G109" s="18" t="s">
        <v>209</v>
      </c>
      <c r="H109" s="19" t="s">
        <v>46</v>
      </c>
      <c r="I109" s="25">
        <v>5</v>
      </c>
      <c r="J109" s="25"/>
      <c r="K109" s="26">
        <v>0.65</v>
      </c>
    </row>
    <row r="110" spans="1:11" ht="140.25" x14ac:dyDescent="0.2">
      <c r="A110" s="25" t="s">
        <v>46</v>
      </c>
      <c r="B110" s="19" t="s">
        <v>46</v>
      </c>
      <c r="C110" s="25" t="s">
        <v>46</v>
      </c>
      <c r="D110" s="25" t="s">
        <v>47</v>
      </c>
      <c r="E110" s="19" t="s">
        <v>208</v>
      </c>
      <c r="F110" s="25"/>
      <c r="G110" s="18" t="s">
        <v>243</v>
      </c>
      <c r="H110" s="19" t="s">
        <v>46</v>
      </c>
      <c r="I110" s="25">
        <v>6</v>
      </c>
      <c r="J110" s="25"/>
      <c r="K110" s="26">
        <v>0.65</v>
      </c>
    </row>
    <row r="111" spans="1:11" x14ac:dyDescent="0.2">
      <c r="A111" s="12" t="s">
        <v>46</v>
      </c>
      <c r="B111" s="15" t="s">
        <v>46</v>
      </c>
      <c r="C111" s="12" t="s">
        <v>46</v>
      </c>
      <c r="D111" s="12" t="s">
        <v>59</v>
      </c>
      <c r="E111" s="15" t="s">
        <v>82</v>
      </c>
      <c r="F111" s="12" t="s">
        <v>46</v>
      </c>
      <c r="G111" s="15" t="s">
        <v>46</v>
      </c>
      <c r="H111" s="15" t="s">
        <v>46</v>
      </c>
      <c r="I111" s="12">
        <v>2</v>
      </c>
      <c r="J111" s="12"/>
      <c r="K111" s="16">
        <v>1</v>
      </c>
    </row>
    <row r="112" spans="1:11" x14ac:dyDescent="0.2">
      <c r="A112" s="12" t="s">
        <v>46</v>
      </c>
      <c r="B112" s="15" t="s">
        <v>46</v>
      </c>
      <c r="C112" s="12" t="s">
        <v>46</v>
      </c>
      <c r="D112" s="12" t="s">
        <v>46</v>
      </c>
      <c r="E112" s="15" t="s">
        <v>46</v>
      </c>
      <c r="F112" s="12">
        <v>0</v>
      </c>
      <c r="G112" s="15" t="s">
        <v>83</v>
      </c>
      <c r="H112" s="15" t="s">
        <v>46</v>
      </c>
      <c r="I112" s="12"/>
      <c r="J112" s="12"/>
      <c r="K112" s="16"/>
    </row>
    <row r="113" spans="1:12" x14ac:dyDescent="0.2">
      <c r="A113" s="12" t="s">
        <v>46</v>
      </c>
      <c r="B113" s="15" t="s">
        <v>46</v>
      </c>
      <c r="C113" s="12" t="s">
        <v>46</v>
      </c>
      <c r="D113" s="12" t="s">
        <v>46</v>
      </c>
      <c r="E113" s="15" t="s">
        <v>46</v>
      </c>
      <c r="F113" s="12">
        <v>1</v>
      </c>
      <c r="G113" s="15" t="s">
        <v>84</v>
      </c>
      <c r="H113" s="15" t="s">
        <v>46</v>
      </c>
      <c r="I113" s="12"/>
      <c r="J113" s="12"/>
      <c r="K113" s="16"/>
    </row>
    <row r="114" spans="1:12" x14ac:dyDescent="0.2">
      <c r="A114" s="12" t="s">
        <v>46</v>
      </c>
      <c r="B114" s="15" t="s">
        <v>46</v>
      </c>
      <c r="C114" s="12" t="s">
        <v>46</v>
      </c>
      <c r="D114" s="12" t="s">
        <v>46</v>
      </c>
      <c r="E114" s="15" t="s">
        <v>46</v>
      </c>
      <c r="F114" s="12">
        <v>2</v>
      </c>
      <c r="G114" s="15" t="s">
        <v>85</v>
      </c>
      <c r="H114" s="15" t="s">
        <v>46</v>
      </c>
      <c r="I114" s="12"/>
      <c r="J114" s="12"/>
      <c r="K114" s="16"/>
    </row>
    <row r="115" spans="1:12" x14ac:dyDescent="0.2">
      <c r="A115" s="12" t="s">
        <v>46</v>
      </c>
      <c r="B115" s="15" t="s">
        <v>46</v>
      </c>
      <c r="C115" s="12" t="s">
        <v>46</v>
      </c>
      <c r="D115" s="12" t="s">
        <v>46</v>
      </c>
      <c r="E115" s="15" t="s">
        <v>46</v>
      </c>
      <c r="F115" s="12">
        <v>3</v>
      </c>
      <c r="G115" s="15" t="s">
        <v>86</v>
      </c>
      <c r="H115" s="15" t="s">
        <v>46</v>
      </c>
      <c r="I115" s="12"/>
      <c r="J115" s="12"/>
      <c r="K115" s="16"/>
    </row>
    <row r="116" spans="1:12" x14ac:dyDescent="0.2">
      <c r="A116" s="12" t="s">
        <v>46</v>
      </c>
      <c r="B116" s="15" t="s">
        <v>46</v>
      </c>
      <c r="C116" s="12" t="s">
        <v>46</v>
      </c>
      <c r="D116" s="12" t="s">
        <v>59</v>
      </c>
      <c r="E116" s="15" t="s">
        <v>187</v>
      </c>
      <c r="F116" s="12" t="s">
        <v>46</v>
      </c>
      <c r="G116" s="15" t="s">
        <v>46</v>
      </c>
      <c r="H116" s="15" t="s">
        <v>46</v>
      </c>
      <c r="I116" s="12">
        <v>2</v>
      </c>
      <c r="J116" s="12"/>
      <c r="K116" s="16">
        <v>1</v>
      </c>
    </row>
    <row r="117" spans="1:12" x14ac:dyDescent="0.2">
      <c r="A117" s="12" t="s">
        <v>46</v>
      </c>
      <c r="B117" s="15" t="s">
        <v>46</v>
      </c>
      <c r="C117" s="12" t="s">
        <v>46</v>
      </c>
      <c r="D117" s="12" t="s">
        <v>46</v>
      </c>
      <c r="E117" s="15" t="s">
        <v>46</v>
      </c>
      <c r="F117" s="12">
        <v>0</v>
      </c>
      <c r="G117" s="15" t="s">
        <v>188</v>
      </c>
      <c r="H117" s="15" t="s">
        <v>46</v>
      </c>
      <c r="I117" s="12"/>
      <c r="J117" s="12"/>
      <c r="K117" s="16"/>
    </row>
    <row r="118" spans="1:12" x14ac:dyDescent="0.2">
      <c r="A118" s="12" t="s">
        <v>46</v>
      </c>
      <c r="B118" s="15" t="s">
        <v>46</v>
      </c>
      <c r="C118" s="12" t="s">
        <v>46</v>
      </c>
      <c r="D118" s="12" t="s">
        <v>46</v>
      </c>
      <c r="E118" s="15" t="s">
        <v>46</v>
      </c>
      <c r="F118" s="12">
        <v>1</v>
      </c>
      <c r="G118" s="15" t="s">
        <v>189</v>
      </c>
      <c r="H118" s="15" t="s">
        <v>46</v>
      </c>
      <c r="I118" s="12"/>
      <c r="J118" s="12"/>
      <c r="K118" s="16"/>
    </row>
    <row r="119" spans="1:12" x14ac:dyDescent="0.2">
      <c r="A119" s="12" t="s">
        <v>46</v>
      </c>
      <c r="B119" s="15" t="s">
        <v>46</v>
      </c>
      <c r="C119" s="12" t="s">
        <v>46</v>
      </c>
      <c r="D119" s="12" t="s">
        <v>46</v>
      </c>
      <c r="E119" s="15" t="s">
        <v>46</v>
      </c>
      <c r="F119" s="12">
        <v>2</v>
      </c>
      <c r="G119" s="15" t="s">
        <v>190</v>
      </c>
      <c r="H119" s="15" t="s">
        <v>46</v>
      </c>
      <c r="I119" s="12"/>
      <c r="J119" s="12"/>
      <c r="K119" s="16"/>
    </row>
    <row r="120" spans="1:12" x14ac:dyDescent="0.2">
      <c r="A120" s="12" t="s">
        <v>46</v>
      </c>
      <c r="B120" s="15" t="s">
        <v>46</v>
      </c>
      <c r="C120" s="12" t="s">
        <v>46</v>
      </c>
      <c r="D120" s="12" t="s">
        <v>46</v>
      </c>
      <c r="E120" s="15" t="s">
        <v>46</v>
      </c>
      <c r="F120" s="12">
        <v>3</v>
      </c>
      <c r="G120" s="15" t="s">
        <v>191</v>
      </c>
      <c r="H120" s="15" t="s">
        <v>46</v>
      </c>
      <c r="I120" s="12"/>
      <c r="J120" s="12"/>
      <c r="K120" s="16"/>
    </row>
    <row r="121" spans="1:12" x14ac:dyDescent="0.2">
      <c r="A121" s="34" t="s">
        <v>87</v>
      </c>
      <c r="B121" s="35" t="s">
        <v>88</v>
      </c>
      <c r="C121" s="34">
        <v>2</v>
      </c>
      <c r="D121" s="35" t="s">
        <v>46</v>
      </c>
      <c r="E121" s="35" t="s">
        <v>46</v>
      </c>
      <c r="F121" s="35" t="s">
        <v>46</v>
      </c>
      <c r="G121" s="35" t="s">
        <v>46</v>
      </c>
      <c r="H121" s="35" t="s">
        <v>46</v>
      </c>
      <c r="I121" s="35" t="s">
        <v>46</v>
      </c>
      <c r="J121" s="35" t="s">
        <v>46</v>
      </c>
      <c r="K121" s="35" t="s">
        <v>46</v>
      </c>
    </row>
    <row r="122" spans="1:12" ht="25.5" x14ac:dyDescent="0.2">
      <c r="A122" s="12" t="s">
        <v>46</v>
      </c>
      <c r="B122" s="15" t="s">
        <v>46</v>
      </c>
      <c r="C122" s="12" t="s">
        <v>46</v>
      </c>
      <c r="D122" s="12" t="s">
        <v>47</v>
      </c>
      <c r="E122" s="19" t="s">
        <v>48</v>
      </c>
      <c r="F122" s="12" t="s">
        <v>46</v>
      </c>
      <c r="G122" s="18" t="s">
        <v>89</v>
      </c>
      <c r="H122" s="15" t="s">
        <v>46</v>
      </c>
      <c r="I122" s="12">
        <v>1</v>
      </c>
      <c r="J122" s="12"/>
      <c r="K122" s="16">
        <v>0.85</v>
      </c>
      <c r="L122" s="2"/>
    </row>
    <row r="123" spans="1:12" x14ac:dyDescent="0.2">
      <c r="A123" s="12"/>
      <c r="B123" s="15"/>
      <c r="C123" s="12"/>
      <c r="D123" s="12" t="s">
        <v>47</v>
      </c>
      <c r="E123" s="19" t="s">
        <v>76</v>
      </c>
      <c r="F123" s="12"/>
      <c r="G123" s="18" t="s">
        <v>245</v>
      </c>
      <c r="H123" s="15"/>
      <c r="I123" s="12">
        <v>6</v>
      </c>
      <c r="J123" s="12"/>
      <c r="K123" s="16">
        <v>0.5</v>
      </c>
      <c r="L123" s="2"/>
    </row>
    <row r="124" spans="1:12" ht="25.5" x14ac:dyDescent="0.2">
      <c r="A124" s="12"/>
      <c r="B124" s="15"/>
      <c r="C124" s="12"/>
      <c r="D124" s="12" t="s">
        <v>47</v>
      </c>
      <c r="E124" s="19" t="s">
        <v>134</v>
      </c>
      <c r="F124" s="12"/>
      <c r="G124" s="18" t="s">
        <v>151</v>
      </c>
      <c r="H124" s="15" t="s">
        <v>46</v>
      </c>
      <c r="I124" s="12">
        <v>6</v>
      </c>
      <c r="J124" s="12"/>
      <c r="K124" s="16">
        <v>0.5</v>
      </c>
      <c r="L124" s="2"/>
    </row>
    <row r="125" spans="1:12" x14ac:dyDescent="0.2">
      <c r="A125" s="12"/>
      <c r="B125" s="15"/>
      <c r="C125" s="12"/>
      <c r="D125" s="12" t="s">
        <v>47</v>
      </c>
      <c r="E125" s="19" t="s">
        <v>135</v>
      </c>
      <c r="F125" s="12"/>
      <c r="G125" s="18" t="s">
        <v>210</v>
      </c>
      <c r="H125" s="15"/>
      <c r="I125" s="12">
        <v>6</v>
      </c>
      <c r="J125" s="12"/>
      <c r="K125" s="16">
        <v>0.1</v>
      </c>
      <c r="L125" s="2"/>
    </row>
    <row r="126" spans="1:12" x14ac:dyDescent="0.2">
      <c r="A126" s="12" t="s">
        <v>46</v>
      </c>
      <c r="B126" s="15" t="s">
        <v>46</v>
      </c>
      <c r="C126" s="12" t="s">
        <v>46</v>
      </c>
      <c r="D126" s="12" t="s">
        <v>47</v>
      </c>
      <c r="E126" s="19" t="s">
        <v>78</v>
      </c>
      <c r="F126" s="12"/>
      <c r="G126" s="18" t="s">
        <v>193</v>
      </c>
      <c r="H126" s="15" t="s">
        <v>46</v>
      </c>
      <c r="I126" s="12">
        <v>5</v>
      </c>
      <c r="J126" s="12"/>
      <c r="K126" s="16">
        <v>0.1</v>
      </c>
    </row>
    <row r="127" spans="1:12" ht="51" x14ac:dyDescent="0.2">
      <c r="A127" s="12"/>
      <c r="B127" s="15"/>
      <c r="C127" s="12"/>
      <c r="D127" s="12" t="s">
        <v>47</v>
      </c>
      <c r="E127" s="19" t="s">
        <v>79</v>
      </c>
      <c r="F127" s="12"/>
      <c r="G127" s="18" t="s">
        <v>211</v>
      </c>
      <c r="H127" s="15" t="s">
        <v>46</v>
      </c>
      <c r="I127" s="12">
        <v>6</v>
      </c>
      <c r="J127" s="12"/>
      <c r="K127" s="16">
        <v>0.7</v>
      </c>
    </row>
    <row r="128" spans="1:12" ht="51" x14ac:dyDescent="0.2">
      <c r="A128" s="12" t="s">
        <v>46</v>
      </c>
      <c r="B128" s="15" t="s">
        <v>46</v>
      </c>
      <c r="C128" s="12" t="s">
        <v>46</v>
      </c>
      <c r="D128" s="12" t="s">
        <v>47</v>
      </c>
      <c r="E128" s="36" t="s">
        <v>212</v>
      </c>
      <c r="F128" s="12"/>
      <c r="G128" s="18" t="s">
        <v>213</v>
      </c>
      <c r="H128" s="15"/>
      <c r="I128" s="12">
        <v>5</v>
      </c>
      <c r="J128" s="12"/>
      <c r="K128" s="16">
        <v>0.3</v>
      </c>
    </row>
    <row r="129" spans="1:11" ht="51" x14ac:dyDescent="0.2">
      <c r="A129" s="12" t="s">
        <v>46</v>
      </c>
      <c r="B129" s="15" t="s">
        <v>46</v>
      </c>
      <c r="C129" s="12" t="s">
        <v>46</v>
      </c>
      <c r="D129" s="12" t="s">
        <v>47</v>
      </c>
      <c r="E129" s="19" t="s">
        <v>214</v>
      </c>
      <c r="F129" s="12"/>
      <c r="G129" s="18" t="s">
        <v>215</v>
      </c>
      <c r="H129" s="15"/>
      <c r="I129" s="12">
        <v>6</v>
      </c>
      <c r="J129" s="12"/>
      <c r="K129" s="16">
        <v>0.7</v>
      </c>
    </row>
    <row r="130" spans="1:11" ht="51" x14ac:dyDescent="0.2">
      <c r="A130" s="12" t="s">
        <v>46</v>
      </c>
      <c r="B130" s="15" t="s">
        <v>46</v>
      </c>
      <c r="C130" s="12" t="s">
        <v>46</v>
      </c>
      <c r="D130" s="12" t="s">
        <v>47</v>
      </c>
      <c r="E130" s="36" t="s">
        <v>216</v>
      </c>
      <c r="F130" s="12"/>
      <c r="G130" s="18" t="s">
        <v>213</v>
      </c>
      <c r="H130" s="15"/>
      <c r="I130" s="12">
        <v>5</v>
      </c>
      <c r="J130" s="12"/>
      <c r="K130" s="16">
        <v>0.3</v>
      </c>
    </row>
    <row r="131" spans="1:11" ht="38.25" x14ac:dyDescent="0.2">
      <c r="A131" s="12" t="s">
        <v>46</v>
      </c>
      <c r="B131" s="15" t="s">
        <v>46</v>
      </c>
      <c r="C131" s="12" t="s">
        <v>46</v>
      </c>
      <c r="D131" s="12" t="s">
        <v>47</v>
      </c>
      <c r="E131" s="19" t="s">
        <v>217</v>
      </c>
      <c r="F131" s="12"/>
      <c r="G131" s="18" t="s">
        <v>220</v>
      </c>
      <c r="H131" s="15"/>
      <c r="I131" s="12">
        <v>6</v>
      </c>
      <c r="J131" s="12"/>
      <c r="K131" s="16">
        <v>0.5</v>
      </c>
    </row>
    <row r="132" spans="1:11" ht="51" x14ac:dyDescent="0.2">
      <c r="A132" s="12" t="s">
        <v>46</v>
      </c>
      <c r="B132" s="15" t="s">
        <v>46</v>
      </c>
      <c r="C132" s="12" t="s">
        <v>46</v>
      </c>
      <c r="D132" s="12" t="s">
        <v>47</v>
      </c>
      <c r="E132" s="36" t="s">
        <v>218</v>
      </c>
      <c r="F132" s="12"/>
      <c r="G132" s="18" t="s">
        <v>213</v>
      </c>
      <c r="H132" s="15"/>
      <c r="I132" s="12">
        <v>5</v>
      </c>
      <c r="J132" s="12"/>
      <c r="K132" s="16">
        <v>0.3</v>
      </c>
    </row>
    <row r="133" spans="1:11" ht="25.5" x14ac:dyDescent="0.2">
      <c r="A133" s="12"/>
      <c r="B133" s="15"/>
      <c r="C133" s="12"/>
      <c r="D133" s="12" t="s">
        <v>47</v>
      </c>
      <c r="E133" s="19" t="s">
        <v>219</v>
      </c>
      <c r="F133" s="12"/>
      <c r="G133" s="18" t="s">
        <v>221</v>
      </c>
      <c r="H133" s="15"/>
      <c r="I133" s="12">
        <v>6</v>
      </c>
      <c r="J133" s="12"/>
      <c r="K133" s="16">
        <v>0.3</v>
      </c>
    </row>
    <row r="134" spans="1:11" ht="63.75" x14ac:dyDescent="0.2">
      <c r="A134" s="12"/>
      <c r="B134" s="15"/>
      <c r="C134" s="12"/>
      <c r="D134" s="25" t="s">
        <v>47</v>
      </c>
      <c r="E134" s="19" t="s">
        <v>222</v>
      </c>
      <c r="F134" s="12"/>
      <c r="G134" s="18" t="s">
        <v>223</v>
      </c>
      <c r="H134" s="15"/>
      <c r="I134" s="12">
        <v>5</v>
      </c>
      <c r="J134" s="12"/>
      <c r="K134" s="16">
        <v>0.25</v>
      </c>
    </row>
    <row r="135" spans="1:11" ht="89.25" x14ac:dyDescent="0.2">
      <c r="A135" s="12"/>
      <c r="B135" s="15"/>
      <c r="C135" s="12"/>
      <c r="D135" s="12"/>
      <c r="E135" s="19" t="s">
        <v>224</v>
      </c>
      <c r="F135" s="12"/>
      <c r="G135" s="27" t="s">
        <v>225</v>
      </c>
      <c r="H135" s="15"/>
      <c r="I135" s="12">
        <v>6</v>
      </c>
      <c r="J135" s="12"/>
      <c r="K135" s="16">
        <v>0.75</v>
      </c>
    </row>
    <row r="136" spans="1:11" ht="114.75" x14ac:dyDescent="0.2">
      <c r="A136" s="12"/>
      <c r="B136" s="15"/>
      <c r="C136" s="12"/>
      <c r="D136" s="12"/>
      <c r="E136" s="19" t="s">
        <v>157</v>
      </c>
      <c r="F136" s="12"/>
      <c r="G136" s="18" t="s">
        <v>227</v>
      </c>
      <c r="H136" s="15"/>
      <c r="I136" s="12">
        <v>5</v>
      </c>
      <c r="J136" s="12"/>
      <c r="K136" s="16">
        <v>0.55000000000000004</v>
      </c>
    </row>
    <row r="137" spans="1:11" ht="140.25" x14ac:dyDescent="0.2">
      <c r="A137" s="12"/>
      <c r="B137" s="15"/>
      <c r="C137" s="12"/>
      <c r="D137" s="12"/>
      <c r="E137" s="19" t="s">
        <v>226</v>
      </c>
      <c r="F137" s="12"/>
      <c r="G137" s="18" t="s">
        <v>233</v>
      </c>
      <c r="H137" s="15"/>
      <c r="I137" s="12">
        <v>6</v>
      </c>
      <c r="J137" s="12"/>
      <c r="K137" s="16">
        <v>1.1499999999999999</v>
      </c>
    </row>
    <row r="138" spans="1:11" ht="153" x14ac:dyDescent="0.2">
      <c r="A138" s="12"/>
      <c r="B138" s="15"/>
      <c r="C138" s="12"/>
      <c r="D138" s="12"/>
      <c r="E138" s="19" t="s">
        <v>160</v>
      </c>
      <c r="F138" s="12"/>
      <c r="G138" s="18" t="s">
        <v>234</v>
      </c>
      <c r="H138" s="15"/>
      <c r="I138" s="12">
        <v>5</v>
      </c>
      <c r="J138" s="12"/>
      <c r="K138" s="16">
        <v>0.6</v>
      </c>
    </row>
    <row r="139" spans="1:11" ht="153" x14ac:dyDescent="0.2">
      <c r="A139" s="12"/>
      <c r="B139" s="15"/>
      <c r="C139" s="12"/>
      <c r="D139" s="12"/>
      <c r="E139" s="19" t="s">
        <v>228</v>
      </c>
      <c r="F139" s="12"/>
      <c r="G139" s="18" t="s">
        <v>235</v>
      </c>
      <c r="H139" s="15"/>
      <c r="I139" s="12">
        <v>6</v>
      </c>
      <c r="J139" s="12"/>
      <c r="K139" s="16">
        <v>1.2</v>
      </c>
    </row>
    <row r="140" spans="1:11" ht="76.5" x14ac:dyDescent="0.2">
      <c r="A140" s="12"/>
      <c r="B140" s="15"/>
      <c r="C140" s="12"/>
      <c r="D140" s="12"/>
      <c r="E140" s="19" t="s">
        <v>229</v>
      </c>
      <c r="F140" s="12"/>
      <c r="G140" s="18" t="s">
        <v>236</v>
      </c>
      <c r="H140" s="15"/>
      <c r="I140" s="12">
        <v>5</v>
      </c>
      <c r="J140" s="12"/>
      <c r="K140" s="16">
        <v>0.3</v>
      </c>
    </row>
    <row r="141" spans="1:11" ht="38.25" x14ac:dyDescent="0.2">
      <c r="A141" s="12"/>
      <c r="B141" s="15"/>
      <c r="C141" s="12"/>
      <c r="D141" s="12"/>
      <c r="E141" s="19" t="s">
        <v>230</v>
      </c>
      <c r="F141" s="12"/>
      <c r="G141" s="18" t="s">
        <v>237</v>
      </c>
      <c r="H141" s="15"/>
      <c r="I141" s="12">
        <v>6</v>
      </c>
      <c r="J141" s="12"/>
      <c r="K141" s="16">
        <v>0.5</v>
      </c>
    </row>
    <row r="142" spans="1:11" ht="63.75" x14ac:dyDescent="0.2">
      <c r="A142" s="12"/>
      <c r="B142" s="15"/>
      <c r="C142" s="12"/>
      <c r="D142" s="12"/>
      <c r="E142" s="19" t="s">
        <v>231</v>
      </c>
      <c r="F142" s="12"/>
      <c r="G142" s="18" t="s">
        <v>238</v>
      </c>
      <c r="H142" s="15"/>
      <c r="I142" s="12">
        <v>5</v>
      </c>
      <c r="J142" s="12"/>
      <c r="K142" s="16">
        <v>0.4</v>
      </c>
    </row>
    <row r="143" spans="1:11" ht="51" x14ac:dyDescent="0.2">
      <c r="A143" s="12"/>
      <c r="B143" s="15"/>
      <c r="C143" s="12"/>
      <c r="D143" s="12"/>
      <c r="E143" s="19" t="s">
        <v>232</v>
      </c>
      <c r="F143" s="12"/>
      <c r="G143" s="18" t="s">
        <v>239</v>
      </c>
      <c r="H143" s="15"/>
      <c r="I143" s="12">
        <v>6</v>
      </c>
      <c r="J143" s="12"/>
      <c r="K143" s="16">
        <v>0.5</v>
      </c>
    </row>
    <row r="144" spans="1:11" x14ac:dyDescent="0.2">
      <c r="A144" s="12" t="s">
        <v>46</v>
      </c>
      <c r="B144" s="15" t="s">
        <v>46</v>
      </c>
      <c r="C144" s="12" t="s">
        <v>46</v>
      </c>
      <c r="D144" s="12" t="s">
        <v>59</v>
      </c>
      <c r="E144" s="15" t="s">
        <v>82</v>
      </c>
      <c r="F144" s="12" t="s">
        <v>46</v>
      </c>
      <c r="G144" s="15" t="s">
        <v>46</v>
      </c>
      <c r="H144" s="15" t="s">
        <v>46</v>
      </c>
      <c r="I144" s="12">
        <v>6</v>
      </c>
      <c r="J144" s="12"/>
      <c r="K144" s="16">
        <v>1</v>
      </c>
    </row>
    <row r="145" spans="1:14" x14ac:dyDescent="0.2">
      <c r="A145" s="12" t="s">
        <v>46</v>
      </c>
      <c r="B145" s="15" t="s">
        <v>46</v>
      </c>
      <c r="C145" s="12" t="s">
        <v>46</v>
      </c>
      <c r="D145" s="12" t="s">
        <v>46</v>
      </c>
      <c r="E145" s="15" t="s">
        <v>46</v>
      </c>
      <c r="F145" s="12">
        <v>0</v>
      </c>
      <c r="G145" s="15" t="s">
        <v>83</v>
      </c>
      <c r="H145" s="15" t="s">
        <v>46</v>
      </c>
      <c r="I145" s="12"/>
      <c r="J145" s="12"/>
      <c r="K145" s="16"/>
    </row>
    <row r="146" spans="1:14" x14ac:dyDescent="0.2">
      <c r="A146" s="12" t="s">
        <v>46</v>
      </c>
      <c r="B146" s="15" t="s">
        <v>46</v>
      </c>
      <c r="C146" s="12" t="s">
        <v>46</v>
      </c>
      <c r="D146" s="12" t="s">
        <v>46</v>
      </c>
      <c r="E146" s="15" t="s">
        <v>46</v>
      </c>
      <c r="F146" s="12">
        <v>1</v>
      </c>
      <c r="G146" s="15" t="s">
        <v>84</v>
      </c>
      <c r="H146" s="15" t="s">
        <v>46</v>
      </c>
      <c r="I146" s="12"/>
      <c r="J146" s="12"/>
      <c r="K146" s="16"/>
    </row>
    <row r="147" spans="1:14" x14ac:dyDescent="0.2">
      <c r="A147" s="12" t="s">
        <v>46</v>
      </c>
      <c r="B147" s="15" t="s">
        <v>46</v>
      </c>
      <c r="C147" s="12" t="s">
        <v>46</v>
      </c>
      <c r="D147" s="12" t="s">
        <v>46</v>
      </c>
      <c r="E147" s="15" t="s">
        <v>46</v>
      </c>
      <c r="F147" s="12">
        <v>2</v>
      </c>
      <c r="G147" s="15" t="s">
        <v>85</v>
      </c>
      <c r="H147" s="15" t="s">
        <v>46</v>
      </c>
      <c r="I147" s="12"/>
      <c r="J147" s="12"/>
      <c r="K147" s="16"/>
    </row>
    <row r="148" spans="1:14" x14ac:dyDescent="0.2">
      <c r="A148" s="12" t="s">
        <v>46</v>
      </c>
      <c r="B148" s="15" t="s">
        <v>46</v>
      </c>
      <c r="C148" s="12" t="s">
        <v>46</v>
      </c>
      <c r="D148" s="12" t="s">
        <v>46</v>
      </c>
      <c r="E148" s="15" t="s">
        <v>46</v>
      </c>
      <c r="F148" s="12">
        <v>3</v>
      </c>
      <c r="G148" s="15" t="s">
        <v>90</v>
      </c>
      <c r="H148" s="15" t="s">
        <v>46</v>
      </c>
      <c r="I148" s="12"/>
      <c r="J148" s="12"/>
      <c r="K148" s="16"/>
    </row>
    <row r="149" spans="1:14" x14ac:dyDescent="0.2">
      <c r="A149" s="12" t="s">
        <v>46</v>
      </c>
      <c r="B149" s="15" t="s">
        <v>46</v>
      </c>
      <c r="C149" s="12" t="s">
        <v>46</v>
      </c>
      <c r="D149" s="12" t="s">
        <v>59</v>
      </c>
      <c r="E149" s="15" t="s">
        <v>187</v>
      </c>
      <c r="F149" s="12" t="s">
        <v>46</v>
      </c>
      <c r="G149" s="15" t="s">
        <v>46</v>
      </c>
      <c r="H149" s="15" t="s">
        <v>46</v>
      </c>
      <c r="I149" s="12">
        <v>2</v>
      </c>
      <c r="J149" s="12"/>
      <c r="K149" s="16">
        <v>1</v>
      </c>
    </row>
    <row r="150" spans="1:14" x14ac:dyDescent="0.2">
      <c r="A150" s="12" t="s">
        <v>46</v>
      </c>
      <c r="B150" s="15" t="s">
        <v>46</v>
      </c>
      <c r="C150" s="12" t="s">
        <v>46</v>
      </c>
      <c r="D150" s="12" t="s">
        <v>46</v>
      </c>
      <c r="E150" s="15" t="s">
        <v>46</v>
      </c>
      <c r="F150" s="12">
        <v>0</v>
      </c>
      <c r="G150" s="15" t="s">
        <v>188</v>
      </c>
      <c r="H150" s="15" t="s">
        <v>46</v>
      </c>
      <c r="I150" s="12"/>
      <c r="J150" s="12"/>
      <c r="K150" s="16"/>
    </row>
    <row r="151" spans="1:14" x14ac:dyDescent="0.2">
      <c r="A151" s="12" t="s">
        <v>46</v>
      </c>
      <c r="B151" s="15" t="s">
        <v>46</v>
      </c>
      <c r="C151" s="12" t="s">
        <v>46</v>
      </c>
      <c r="D151" s="12" t="s">
        <v>46</v>
      </c>
      <c r="E151" s="15" t="s">
        <v>46</v>
      </c>
      <c r="F151" s="12">
        <v>1</v>
      </c>
      <c r="G151" s="15" t="s">
        <v>189</v>
      </c>
      <c r="H151" s="15" t="s">
        <v>46</v>
      </c>
      <c r="I151" s="12"/>
      <c r="J151" s="12"/>
      <c r="K151" s="16"/>
    </row>
    <row r="152" spans="1:14" x14ac:dyDescent="0.2">
      <c r="A152" s="12" t="s">
        <v>46</v>
      </c>
      <c r="B152" s="15" t="s">
        <v>46</v>
      </c>
      <c r="C152" s="12" t="s">
        <v>46</v>
      </c>
      <c r="D152" s="12" t="s">
        <v>46</v>
      </c>
      <c r="E152" s="15" t="s">
        <v>46</v>
      </c>
      <c r="F152" s="12">
        <v>2</v>
      </c>
      <c r="G152" s="15" t="s">
        <v>190</v>
      </c>
      <c r="H152" s="15" t="s">
        <v>46</v>
      </c>
      <c r="I152" s="12"/>
      <c r="J152" s="12"/>
      <c r="K152" s="16"/>
    </row>
    <row r="153" spans="1:14" x14ac:dyDescent="0.2">
      <c r="A153" s="12" t="s">
        <v>46</v>
      </c>
      <c r="B153" s="15" t="s">
        <v>46</v>
      </c>
      <c r="C153" s="12" t="s">
        <v>46</v>
      </c>
      <c r="D153" s="12" t="s">
        <v>46</v>
      </c>
      <c r="E153" s="15" t="s">
        <v>46</v>
      </c>
      <c r="F153" s="12">
        <v>3</v>
      </c>
      <c r="G153" s="15" t="s">
        <v>191</v>
      </c>
      <c r="H153" s="15" t="s">
        <v>46</v>
      </c>
      <c r="I153" s="12"/>
      <c r="J153" s="12"/>
      <c r="K153" s="16"/>
    </row>
    <row r="154" spans="1:14" x14ac:dyDescent="0.2">
      <c r="A154" s="12" t="s">
        <v>46</v>
      </c>
      <c r="B154" s="15"/>
      <c r="C154" s="12"/>
      <c r="D154" s="12"/>
      <c r="E154" s="15"/>
      <c r="F154" s="12"/>
      <c r="G154" s="15"/>
      <c r="H154" s="15"/>
      <c r="I154" s="12"/>
      <c r="J154" s="12"/>
      <c r="K154" s="16"/>
    </row>
    <row r="155" spans="1:14" ht="13.5" thickBot="1" x14ac:dyDescent="0.25">
      <c r="A155" s="12" t="s">
        <v>46</v>
      </c>
      <c r="B155" s="15"/>
      <c r="C155" s="12"/>
      <c r="D155" s="12"/>
      <c r="E155" s="15"/>
      <c r="F155" s="12"/>
      <c r="G155" s="15"/>
      <c r="H155" s="15"/>
      <c r="I155" s="12"/>
      <c r="J155" s="12"/>
      <c r="K155" s="16"/>
    </row>
    <row r="156" spans="1:14" ht="153" x14ac:dyDescent="0.2">
      <c r="A156" s="3" t="s">
        <v>31</v>
      </c>
      <c r="B156" s="3" t="s">
        <v>32</v>
      </c>
      <c r="C156" s="3" t="s">
        <v>33</v>
      </c>
      <c r="D156" s="3" t="s">
        <v>34</v>
      </c>
      <c r="E156" s="3" t="s">
        <v>35</v>
      </c>
      <c r="F156" s="3" t="s">
        <v>36</v>
      </c>
      <c r="G156" s="3" t="s">
        <v>37</v>
      </c>
      <c r="H156" s="3" t="s">
        <v>38</v>
      </c>
      <c r="I156" s="3" t="s">
        <v>39</v>
      </c>
      <c r="J156" s="3" t="s">
        <v>40</v>
      </c>
      <c r="K156" s="3" t="s">
        <v>41</v>
      </c>
      <c r="L156" s="4" t="s">
        <v>91</v>
      </c>
      <c r="M156" s="5" t="s">
        <v>43</v>
      </c>
      <c r="N156" s="6">
        <f>SUM(K157:K188)</f>
        <v>19.999999999999996</v>
      </c>
    </row>
    <row r="157" spans="1:14" x14ac:dyDescent="0.2">
      <c r="A157" s="12" t="s">
        <v>92</v>
      </c>
      <c r="B157" s="15" t="s">
        <v>93</v>
      </c>
      <c r="C157" s="12">
        <v>3</v>
      </c>
      <c r="D157" s="15" t="s">
        <v>46</v>
      </c>
      <c r="E157" s="15" t="s">
        <v>46</v>
      </c>
      <c r="F157" s="15" t="s">
        <v>46</v>
      </c>
      <c r="G157" s="15" t="s">
        <v>46</v>
      </c>
      <c r="H157" s="15" t="s">
        <v>46</v>
      </c>
      <c r="I157" s="15" t="s">
        <v>46</v>
      </c>
      <c r="J157" s="15" t="s">
        <v>46</v>
      </c>
      <c r="K157" s="15" t="s">
        <v>46</v>
      </c>
    </row>
    <row r="158" spans="1:14" ht="25.5" x14ac:dyDescent="0.2">
      <c r="A158" s="12" t="s">
        <v>46</v>
      </c>
      <c r="B158" s="15" t="s">
        <v>46</v>
      </c>
      <c r="C158" s="12" t="s">
        <v>46</v>
      </c>
      <c r="D158" s="12" t="s">
        <v>47</v>
      </c>
      <c r="E158" s="19" t="s">
        <v>48</v>
      </c>
      <c r="F158" s="12" t="s">
        <v>46</v>
      </c>
      <c r="G158" s="18" t="s">
        <v>94</v>
      </c>
      <c r="H158" s="15" t="s">
        <v>46</v>
      </c>
      <c r="I158" s="12">
        <v>1</v>
      </c>
      <c r="J158" s="12"/>
      <c r="K158" s="16">
        <v>0.85</v>
      </c>
      <c r="L158" s="2"/>
    </row>
    <row r="159" spans="1:14" ht="25.5" x14ac:dyDescent="0.2">
      <c r="A159" s="12" t="s">
        <v>46</v>
      </c>
      <c r="B159" s="15" t="s">
        <v>46</v>
      </c>
      <c r="C159" s="12" t="s">
        <v>46</v>
      </c>
      <c r="D159" s="12" t="s">
        <v>47</v>
      </c>
      <c r="E159" s="19" t="s">
        <v>134</v>
      </c>
      <c r="F159" s="12"/>
      <c r="G159" s="18" t="s">
        <v>266</v>
      </c>
      <c r="H159" s="15" t="s">
        <v>46</v>
      </c>
      <c r="I159" s="12">
        <v>3</v>
      </c>
      <c r="J159" s="12"/>
      <c r="K159" s="16">
        <v>1</v>
      </c>
    </row>
    <row r="160" spans="1:14" ht="25.5" x14ac:dyDescent="0.2">
      <c r="A160" s="12"/>
      <c r="B160" s="15"/>
      <c r="C160" s="12"/>
      <c r="D160" s="12" t="s">
        <v>47</v>
      </c>
      <c r="E160" s="19" t="s">
        <v>249</v>
      </c>
      <c r="F160" s="12"/>
      <c r="G160" s="18" t="s">
        <v>248</v>
      </c>
      <c r="H160" s="15"/>
      <c r="I160" s="12">
        <v>3</v>
      </c>
      <c r="J160" s="12"/>
      <c r="K160" s="16">
        <v>0.5</v>
      </c>
    </row>
    <row r="161" spans="1:11" x14ac:dyDescent="0.2">
      <c r="A161" s="12"/>
      <c r="B161" s="15"/>
      <c r="C161" s="12"/>
      <c r="D161" s="12" t="s">
        <v>47</v>
      </c>
      <c r="E161" s="19" t="s">
        <v>250</v>
      </c>
      <c r="F161" s="12"/>
      <c r="G161" s="18" t="s">
        <v>267</v>
      </c>
      <c r="H161" s="15"/>
      <c r="I161" s="12">
        <v>5</v>
      </c>
      <c r="J161" s="12"/>
      <c r="K161" s="16">
        <v>0.6</v>
      </c>
    </row>
    <row r="162" spans="1:11" ht="25.5" x14ac:dyDescent="0.2">
      <c r="A162" s="12" t="s">
        <v>46</v>
      </c>
      <c r="B162" s="15" t="s">
        <v>46</v>
      </c>
      <c r="C162" s="12" t="s">
        <v>46</v>
      </c>
      <c r="D162" s="12" t="s">
        <v>47</v>
      </c>
      <c r="E162" s="19" t="s">
        <v>262</v>
      </c>
      <c r="F162" s="12"/>
      <c r="G162" s="18" t="s">
        <v>264</v>
      </c>
      <c r="H162" s="15" t="s">
        <v>46</v>
      </c>
      <c r="I162" s="12">
        <v>5</v>
      </c>
      <c r="J162" s="12"/>
      <c r="K162" s="16">
        <v>0.6</v>
      </c>
    </row>
    <row r="163" spans="1:11" ht="89.25" x14ac:dyDescent="0.2">
      <c r="A163" s="12" t="s">
        <v>46</v>
      </c>
      <c r="B163" s="15" t="s">
        <v>46</v>
      </c>
      <c r="C163" s="12" t="s">
        <v>46</v>
      </c>
      <c r="D163" s="12" t="s">
        <v>47</v>
      </c>
      <c r="E163" s="19" t="s">
        <v>263</v>
      </c>
      <c r="F163" s="12"/>
      <c r="G163" s="18" t="s">
        <v>265</v>
      </c>
      <c r="H163" s="15" t="s">
        <v>46</v>
      </c>
      <c r="I163" s="12">
        <v>6</v>
      </c>
      <c r="J163" s="12"/>
      <c r="K163" s="16">
        <v>0.7</v>
      </c>
    </row>
    <row r="164" spans="1:11" ht="76.5" x14ac:dyDescent="0.2">
      <c r="A164" s="12"/>
      <c r="B164" s="15"/>
      <c r="C164" s="12"/>
      <c r="D164" s="25" t="s">
        <v>47</v>
      </c>
      <c r="E164" s="19" t="s">
        <v>251</v>
      </c>
      <c r="F164" s="12"/>
      <c r="G164" s="18" t="s">
        <v>268</v>
      </c>
      <c r="H164" s="15"/>
      <c r="I164" s="12">
        <v>6</v>
      </c>
      <c r="J164" s="12"/>
      <c r="K164" s="16">
        <v>0.6</v>
      </c>
    </row>
    <row r="165" spans="1:11" ht="293.25" x14ac:dyDescent="0.2">
      <c r="A165" s="12"/>
      <c r="B165" s="15"/>
      <c r="C165" s="12"/>
      <c r="D165" s="25" t="s">
        <v>47</v>
      </c>
      <c r="E165" s="19" t="s">
        <v>252</v>
      </c>
      <c r="F165" s="12"/>
      <c r="G165" s="18" t="s">
        <v>279</v>
      </c>
      <c r="H165" s="15"/>
      <c r="I165" s="12">
        <v>6</v>
      </c>
      <c r="J165" s="12"/>
      <c r="K165" s="16">
        <v>1.9</v>
      </c>
    </row>
    <row r="166" spans="1:11" ht="63.75" x14ac:dyDescent="0.2">
      <c r="A166" s="12"/>
      <c r="B166" s="15"/>
      <c r="C166" s="12"/>
      <c r="D166" s="25" t="s">
        <v>47</v>
      </c>
      <c r="E166" s="19" t="s">
        <v>253</v>
      </c>
      <c r="F166" s="12"/>
      <c r="G166" s="18" t="s">
        <v>269</v>
      </c>
      <c r="H166" s="15"/>
      <c r="I166" s="12">
        <v>5</v>
      </c>
      <c r="J166" s="12"/>
      <c r="K166" s="16">
        <v>0.8</v>
      </c>
    </row>
    <row r="167" spans="1:11" ht="178.5" x14ac:dyDescent="0.2">
      <c r="A167" s="12"/>
      <c r="B167" s="15"/>
      <c r="C167" s="12"/>
      <c r="D167" s="25" t="s">
        <v>47</v>
      </c>
      <c r="E167" s="19" t="s">
        <v>254</v>
      </c>
      <c r="F167" s="12"/>
      <c r="G167" s="18" t="s">
        <v>277</v>
      </c>
      <c r="H167" s="15"/>
      <c r="I167" s="12">
        <v>6</v>
      </c>
      <c r="J167" s="12"/>
      <c r="K167" s="16">
        <v>1.7</v>
      </c>
    </row>
    <row r="168" spans="1:11" ht="191.25" x14ac:dyDescent="0.2">
      <c r="A168" s="12"/>
      <c r="B168" s="15"/>
      <c r="C168" s="12"/>
      <c r="D168" s="25" t="s">
        <v>47</v>
      </c>
      <c r="E168" s="19" t="s">
        <v>254</v>
      </c>
      <c r="F168" s="12"/>
      <c r="G168" s="18" t="s">
        <v>275</v>
      </c>
      <c r="H168" s="15"/>
      <c r="I168" s="12">
        <v>6</v>
      </c>
      <c r="J168" s="12"/>
      <c r="K168" s="16">
        <v>1.45</v>
      </c>
    </row>
    <row r="169" spans="1:11" ht="114.75" x14ac:dyDescent="0.2">
      <c r="A169" s="12"/>
      <c r="B169" s="15"/>
      <c r="C169" s="12"/>
      <c r="D169" s="25" t="s">
        <v>47</v>
      </c>
      <c r="E169" s="19" t="s">
        <v>255</v>
      </c>
      <c r="F169" s="12"/>
      <c r="G169" s="18" t="s">
        <v>270</v>
      </c>
      <c r="H169" s="15"/>
      <c r="I169" s="12">
        <v>5</v>
      </c>
      <c r="J169" s="12"/>
      <c r="K169" s="16">
        <v>1</v>
      </c>
    </row>
    <row r="170" spans="1:11" ht="153" x14ac:dyDescent="0.2">
      <c r="A170" s="12"/>
      <c r="B170" s="15"/>
      <c r="C170" s="12"/>
      <c r="D170" s="25" t="s">
        <v>47</v>
      </c>
      <c r="E170" s="19" t="s">
        <v>256</v>
      </c>
      <c r="F170" s="12"/>
      <c r="G170" s="18" t="s">
        <v>278</v>
      </c>
      <c r="H170" s="15"/>
      <c r="I170" s="12">
        <v>6</v>
      </c>
      <c r="J170" s="12"/>
      <c r="K170" s="16">
        <v>1.35</v>
      </c>
    </row>
    <row r="171" spans="1:11" ht="89.25" x14ac:dyDescent="0.2">
      <c r="A171" s="12"/>
      <c r="B171" s="15"/>
      <c r="C171" s="12"/>
      <c r="D171" s="25" t="s">
        <v>47</v>
      </c>
      <c r="E171" s="19" t="s">
        <v>257</v>
      </c>
      <c r="F171" s="12"/>
      <c r="G171" s="18" t="s">
        <v>271</v>
      </c>
      <c r="H171" s="15"/>
      <c r="I171" s="12">
        <v>5</v>
      </c>
      <c r="J171" s="12"/>
      <c r="K171" s="16">
        <v>0.7</v>
      </c>
    </row>
    <row r="172" spans="1:11" ht="89.25" x14ac:dyDescent="0.2">
      <c r="A172" s="12"/>
      <c r="B172" s="15"/>
      <c r="C172" s="12"/>
      <c r="D172" s="25" t="s">
        <v>47</v>
      </c>
      <c r="E172" s="19" t="s">
        <v>258</v>
      </c>
      <c r="F172" s="12"/>
      <c r="G172" s="28" t="s">
        <v>276</v>
      </c>
      <c r="H172" s="12"/>
      <c r="I172" s="12">
        <v>6</v>
      </c>
      <c r="J172" s="12"/>
      <c r="K172" s="12">
        <v>0.75</v>
      </c>
    </row>
    <row r="173" spans="1:11" ht="89.25" x14ac:dyDescent="0.2">
      <c r="A173" s="12"/>
      <c r="B173" s="15"/>
      <c r="C173" s="12"/>
      <c r="D173" s="25" t="s">
        <v>47</v>
      </c>
      <c r="E173" s="19" t="s">
        <v>259</v>
      </c>
      <c r="F173" s="12"/>
      <c r="G173" s="18" t="s">
        <v>272</v>
      </c>
      <c r="H173" s="15"/>
      <c r="I173" s="12">
        <v>5</v>
      </c>
      <c r="J173" s="12"/>
      <c r="K173" s="16">
        <v>0.7</v>
      </c>
    </row>
    <row r="174" spans="1:11" ht="127.5" x14ac:dyDescent="0.2">
      <c r="A174" s="12"/>
      <c r="B174" s="15"/>
      <c r="C174" s="12"/>
      <c r="D174" s="25" t="s">
        <v>47</v>
      </c>
      <c r="E174" s="19" t="s">
        <v>260</v>
      </c>
      <c r="F174" s="12"/>
      <c r="G174" s="28" t="s">
        <v>261</v>
      </c>
      <c r="H174" s="12"/>
      <c r="I174" s="12">
        <v>6</v>
      </c>
      <c r="J174" s="12"/>
      <c r="K174" s="12">
        <v>0.9</v>
      </c>
    </row>
    <row r="175" spans="1:11" ht="25.5" x14ac:dyDescent="0.2">
      <c r="A175" s="12" t="s">
        <v>46</v>
      </c>
      <c r="B175" s="15" t="s">
        <v>46</v>
      </c>
      <c r="C175" s="12" t="s">
        <v>46</v>
      </c>
      <c r="D175" s="12" t="s">
        <v>47</v>
      </c>
      <c r="E175" s="19" t="s">
        <v>95</v>
      </c>
      <c r="F175" s="12"/>
      <c r="G175" s="18" t="s">
        <v>273</v>
      </c>
      <c r="H175" s="15" t="s">
        <v>46</v>
      </c>
      <c r="I175" s="12">
        <v>5</v>
      </c>
      <c r="J175" s="12"/>
      <c r="K175" s="16">
        <v>0.4</v>
      </c>
    </row>
    <row r="176" spans="1:11" ht="51" x14ac:dyDescent="0.2">
      <c r="A176" s="12" t="s">
        <v>46</v>
      </c>
      <c r="B176" s="15" t="s">
        <v>46</v>
      </c>
      <c r="C176" s="12" t="s">
        <v>46</v>
      </c>
      <c r="D176" s="12" t="s">
        <v>47</v>
      </c>
      <c r="E176" s="19" t="s">
        <v>96</v>
      </c>
      <c r="F176" s="12"/>
      <c r="G176" s="18" t="s">
        <v>274</v>
      </c>
      <c r="H176" s="15" t="s">
        <v>46</v>
      </c>
      <c r="I176" s="12">
        <v>6</v>
      </c>
      <c r="J176" s="12"/>
      <c r="K176" s="16">
        <v>1.5</v>
      </c>
    </row>
    <row r="177" spans="1:14" x14ac:dyDescent="0.2">
      <c r="A177" s="12" t="s">
        <v>46</v>
      </c>
      <c r="B177" s="15" t="s">
        <v>46</v>
      </c>
      <c r="C177" s="12" t="s">
        <v>46</v>
      </c>
      <c r="D177" s="12" t="s">
        <v>59</v>
      </c>
      <c r="E177" s="15" t="s">
        <v>97</v>
      </c>
      <c r="F177" s="12" t="s">
        <v>46</v>
      </c>
      <c r="G177" s="15" t="s">
        <v>46</v>
      </c>
      <c r="H177" s="15" t="s">
        <v>46</v>
      </c>
      <c r="I177" s="12">
        <v>6</v>
      </c>
      <c r="J177" s="12"/>
      <c r="K177" s="16">
        <v>1</v>
      </c>
    </row>
    <row r="178" spans="1:14" x14ac:dyDescent="0.2">
      <c r="A178" s="12" t="s">
        <v>46</v>
      </c>
      <c r="B178" s="15" t="s">
        <v>46</v>
      </c>
      <c r="C178" s="12" t="s">
        <v>46</v>
      </c>
      <c r="D178" s="12" t="s">
        <v>46</v>
      </c>
      <c r="E178" s="15" t="s">
        <v>46</v>
      </c>
      <c r="F178" s="12">
        <v>0</v>
      </c>
      <c r="G178" s="15" t="s">
        <v>98</v>
      </c>
      <c r="H178" s="15" t="s">
        <v>46</v>
      </c>
      <c r="I178" s="12"/>
      <c r="J178" s="12"/>
      <c r="K178" s="16"/>
    </row>
    <row r="179" spans="1:14" x14ac:dyDescent="0.2">
      <c r="A179" s="12" t="s">
        <v>46</v>
      </c>
      <c r="B179" s="15" t="s">
        <v>46</v>
      </c>
      <c r="C179" s="12" t="s">
        <v>46</v>
      </c>
      <c r="D179" s="12" t="s">
        <v>46</v>
      </c>
      <c r="E179" s="15" t="s">
        <v>46</v>
      </c>
      <c r="F179" s="12">
        <v>1</v>
      </c>
      <c r="G179" s="15" t="s">
        <v>99</v>
      </c>
      <c r="H179" s="15" t="s">
        <v>46</v>
      </c>
      <c r="I179" s="12"/>
      <c r="J179" s="12"/>
      <c r="K179" s="16"/>
    </row>
    <row r="180" spans="1:14" x14ac:dyDescent="0.2">
      <c r="A180" s="12" t="s">
        <v>46</v>
      </c>
      <c r="B180" s="15" t="s">
        <v>46</v>
      </c>
      <c r="C180" s="12" t="s">
        <v>46</v>
      </c>
      <c r="D180" s="12" t="s">
        <v>46</v>
      </c>
      <c r="E180" s="15" t="s">
        <v>46</v>
      </c>
      <c r="F180" s="12">
        <v>2</v>
      </c>
      <c r="G180" s="15" t="s">
        <v>100</v>
      </c>
      <c r="H180" s="15" t="s">
        <v>46</v>
      </c>
      <c r="I180" s="12"/>
      <c r="J180" s="12"/>
      <c r="K180" s="16"/>
    </row>
    <row r="181" spans="1:14" x14ac:dyDescent="0.2">
      <c r="A181" s="12" t="s">
        <v>46</v>
      </c>
      <c r="B181" s="15" t="s">
        <v>46</v>
      </c>
      <c r="C181" s="12" t="s">
        <v>46</v>
      </c>
      <c r="D181" s="12" t="s">
        <v>46</v>
      </c>
      <c r="E181" s="15" t="s">
        <v>46</v>
      </c>
      <c r="F181" s="12">
        <v>3</v>
      </c>
      <c r="G181" s="15" t="s">
        <v>101</v>
      </c>
      <c r="H181" s="15" t="s">
        <v>46</v>
      </c>
      <c r="I181" s="12"/>
      <c r="J181" s="12"/>
      <c r="K181" s="16"/>
    </row>
    <row r="182" spans="1:14" x14ac:dyDescent="0.2">
      <c r="A182" s="12" t="s">
        <v>46</v>
      </c>
      <c r="B182" s="15" t="s">
        <v>46</v>
      </c>
      <c r="C182" s="12" t="s">
        <v>46</v>
      </c>
      <c r="D182" s="12" t="s">
        <v>59</v>
      </c>
      <c r="E182" s="15" t="s">
        <v>187</v>
      </c>
      <c r="F182" s="12" t="s">
        <v>46</v>
      </c>
      <c r="G182" s="15" t="s">
        <v>46</v>
      </c>
      <c r="H182" s="15" t="s">
        <v>46</v>
      </c>
      <c r="I182" s="12">
        <v>5</v>
      </c>
      <c r="J182" s="12"/>
      <c r="K182" s="16">
        <v>1</v>
      </c>
    </row>
    <row r="183" spans="1:14" x14ac:dyDescent="0.2">
      <c r="A183" s="12" t="s">
        <v>46</v>
      </c>
      <c r="B183" s="15" t="s">
        <v>46</v>
      </c>
      <c r="C183" s="12" t="s">
        <v>46</v>
      </c>
      <c r="D183" s="12" t="s">
        <v>46</v>
      </c>
      <c r="E183" s="15" t="s">
        <v>46</v>
      </c>
      <c r="F183" s="12">
        <v>0</v>
      </c>
      <c r="G183" s="15" t="s">
        <v>188</v>
      </c>
      <c r="H183" s="15" t="s">
        <v>46</v>
      </c>
      <c r="I183" s="12"/>
      <c r="J183" s="12"/>
      <c r="K183" s="16"/>
    </row>
    <row r="184" spans="1:14" x14ac:dyDescent="0.2">
      <c r="A184" s="12" t="s">
        <v>46</v>
      </c>
      <c r="B184" s="15" t="s">
        <v>46</v>
      </c>
      <c r="C184" s="12" t="s">
        <v>46</v>
      </c>
      <c r="D184" s="12" t="s">
        <v>46</v>
      </c>
      <c r="E184" s="15" t="s">
        <v>46</v>
      </c>
      <c r="F184" s="12">
        <v>1</v>
      </c>
      <c r="G184" s="15" t="s">
        <v>189</v>
      </c>
      <c r="H184" s="15" t="s">
        <v>46</v>
      </c>
      <c r="I184" s="12"/>
      <c r="J184" s="12"/>
      <c r="K184" s="16"/>
    </row>
    <row r="185" spans="1:14" x14ac:dyDescent="0.2">
      <c r="A185" s="12" t="s">
        <v>46</v>
      </c>
      <c r="B185" s="15" t="s">
        <v>46</v>
      </c>
      <c r="C185" s="12" t="s">
        <v>46</v>
      </c>
      <c r="D185" s="12" t="s">
        <v>46</v>
      </c>
      <c r="E185" s="15" t="s">
        <v>46</v>
      </c>
      <c r="F185" s="12">
        <v>2</v>
      </c>
      <c r="G185" s="15" t="s">
        <v>190</v>
      </c>
      <c r="H185" s="15" t="s">
        <v>46</v>
      </c>
      <c r="I185" s="12"/>
      <c r="J185" s="12"/>
      <c r="K185" s="16"/>
    </row>
    <row r="186" spans="1:14" x14ac:dyDescent="0.2">
      <c r="A186" s="12" t="s">
        <v>46</v>
      </c>
      <c r="B186" s="15" t="s">
        <v>46</v>
      </c>
      <c r="C186" s="12" t="s">
        <v>46</v>
      </c>
      <c r="D186" s="12" t="s">
        <v>46</v>
      </c>
      <c r="E186" s="15" t="s">
        <v>46</v>
      </c>
      <c r="F186" s="12">
        <v>3</v>
      </c>
      <c r="G186" s="15" t="s">
        <v>191</v>
      </c>
      <c r="H186" s="15" t="s">
        <v>46</v>
      </c>
      <c r="I186" s="12"/>
      <c r="J186" s="12"/>
      <c r="K186" s="16"/>
    </row>
    <row r="187" spans="1:14" x14ac:dyDescent="0.2">
      <c r="A187" s="12" t="s">
        <v>46</v>
      </c>
      <c r="B187" s="15" t="s">
        <v>46</v>
      </c>
      <c r="C187" s="12" t="s">
        <v>46</v>
      </c>
      <c r="D187" s="12" t="s">
        <v>46</v>
      </c>
      <c r="E187" s="15" t="s">
        <v>46</v>
      </c>
      <c r="F187" s="12" t="s">
        <v>46</v>
      </c>
      <c r="G187" s="15" t="s">
        <v>46</v>
      </c>
      <c r="H187" s="15" t="s">
        <v>46</v>
      </c>
      <c r="I187" s="12"/>
      <c r="J187" s="12"/>
      <c r="K187" s="16"/>
    </row>
    <row r="188" spans="1:14" x14ac:dyDescent="0.2">
      <c r="A188" s="12" t="s">
        <v>46</v>
      </c>
      <c r="B188" s="15" t="s">
        <v>46</v>
      </c>
      <c r="C188" s="12" t="s">
        <v>46</v>
      </c>
      <c r="D188" s="12" t="s">
        <v>46</v>
      </c>
      <c r="E188" s="15" t="s">
        <v>46</v>
      </c>
      <c r="F188" s="12" t="s">
        <v>46</v>
      </c>
      <c r="G188" s="15" t="s">
        <v>46</v>
      </c>
      <c r="H188" s="15" t="s">
        <v>46</v>
      </c>
      <c r="I188" s="12"/>
      <c r="J188" s="12"/>
      <c r="K188" s="16"/>
    </row>
    <row r="189" spans="1:14" ht="153" x14ac:dyDescent="0.2">
      <c r="A189" s="3" t="s">
        <v>31</v>
      </c>
      <c r="B189" s="3" t="s">
        <v>32</v>
      </c>
      <c r="C189" s="3" t="s">
        <v>33</v>
      </c>
      <c r="D189" s="3" t="s">
        <v>34</v>
      </c>
      <c r="E189" s="3" t="s">
        <v>35</v>
      </c>
      <c r="F189" s="3" t="s">
        <v>36</v>
      </c>
      <c r="G189" s="3" t="s">
        <v>37</v>
      </c>
      <c r="H189" s="3" t="s">
        <v>38</v>
      </c>
      <c r="I189" s="3" t="s">
        <v>39</v>
      </c>
      <c r="J189" s="3" t="s">
        <v>40</v>
      </c>
      <c r="K189" s="3" t="s">
        <v>41</v>
      </c>
      <c r="L189" s="4" t="s">
        <v>102</v>
      </c>
      <c r="M189" s="5" t="s">
        <v>43</v>
      </c>
      <c r="N189" s="6">
        <f>SUM(K190:K250)</f>
        <v>20</v>
      </c>
    </row>
    <row r="190" spans="1:14" x14ac:dyDescent="0.2">
      <c r="A190" s="12" t="s">
        <v>103</v>
      </c>
      <c r="B190" s="19" t="s">
        <v>104</v>
      </c>
      <c r="C190" s="12">
        <v>3</v>
      </c>
      <c r="D190" s="15" t="s">
        <v>46</v>
      </c>
      <c r="E190" s="15" t="s">
        <v>46</v>
      </c>
      <c r="F190" s="15" t="s">
        <v>46</v>
      </c>
      <c r="G190" s="15" t="s">
        <v>46</v>
      </c>
      <c r="H190" s="15" t="s">
        <v>46</v>
      </c>
      <c r="I190" s="15" t="s">
        <v>46</v>
      </c>
      <c r="J190" s="15" t="s">
        <v>46</v>
      </c>
      <c r="K190" s="15" t="s">
        <v>46</v>
      </c>
    </row>
    <row r="191" spans="1:14" ht="25.5" x14ac:dyDescent="0.2">
      <c r="A191" s="12" t="s">
        <v>46</v>
      </c>
      <c r="B191" s="15" t="s">
        <v>46</v>
      </c>
      <c r="C191" s="12" t="s">
        <v>46</v>
      </c>
      <c r="D191" s="12" t="s">
        <v>47</v>
      </c>
      <c r="E191" s="19" t="s">
        <v>48</v>
      </c>
      <c r="F191" s="12" t="s">
        <v>46</v>
      </c>
      <c r="G191" s="18" t="s">
        <v>105</v>
      </c>
      <c r="H191" s="15" t="s">
        <v>46</v>
      </c>
      <c r="I191" s="12">
        <v>3</v>
      </c>
      <c r="J191" s="12"/>
      <c r="K191" s="16">
        <v>0.85</v>
      </c>
    </row>
    <row r="192" spans="1:14" ht="25.5" x14ac:dyDescent="0.2">
      <c r="A192" s="12" t="s">
        <v>46</v>
      </c>
      <c r="B192" s="15" t="s">
        <v>46</v>
      </c>
      <c r="C192" s="12" t="s">
        <v>46</v>
      </c>
      <c r="D192" s="12" t="s">
        <v>47</v>
      </c>
      <c r="E192" s="19" t="s">
        <v>134</v>
      </c>
      <c r="F192" s="12"/>
      <c r="G192" s="18" t="s">
        <v>266</v>
      </c>
      <c r="H192" s="15" t="s">
        <v>46</v>
      </c>
      <c r="I192" s="12">
        <v>5</v>
      </c>
      <c r="J192" s="12"/>
      <c r="K192" s="16">
        <v>1</v>
      </c>
    </row>
    <row r="193" spans="1:11" x14ac:dyDescent="0.2">
      <c r="A193" s="12" t="s">
        <v>46</v>
      </c>
      <c r="B193" s="15" t="s">
        <v>46</v>
      </c>
      <c r="C193" s="12" t="s">
        <v>46</v>
      </c>
      <c r="D193" s="12" t="s">
        <v>47</v>
      </c>
      <c r="E193" s="19" t="s">
        <v>280</v>
      </c>
      <c r="F193" s="12"/>
      <c r="G193" s="18" t="s">
        <v>281</v>
      </c>
      <c r="H193" s="15" t="s">
        <v>46</v>
      </c>
      <c r="I193" s="12">
        <v>6</v>
      </c>
      <c r="J193" s="12"/>
      <c r="K193" s="16">
        <v>0.1</v>
      </c>
    </row>
    <row r="194" spans="1:11" x14ac:dyDescent="0.2">
      <c r="A194" s="12" t="s">
        <v>46</v>
      </c>
      <c r="B194" s="15" t="s">
        <v>46</v>
      </c>
      <c r="C194" s="12" t="s">
        <v>46</v>
      </c>
      <c r="D194" s="12" t="s">
        <v>47</v>
      </c>
      <c r="E194" s="19" t="s">
        <v>289</v>
      </c>
      <c r="F194" s="12"/>
      <c r="G194" s="18" t="s">
        <v>290</v>
      </c>
      <c r="H194" s="15" t="s">
        <v>46</v>
      </c>
      <c r="I194" s="12">
        <v>3</v>
      </c>
      <c r="J194" s="12"/>
      <c r="K194" s="16">
        <v>0.4</v>
      </c>
    </row>
    <row r="195" spans="1:11" x14ac:dyDescent="0.2">
      <c r="A195" s="12" t="s">
        <v>46</v>
      </c>
      <c r="B195" s="15" t="s">
        <v>46</v>
      </c>
      <c r="C195" s="12" t="s">
        <v>46</v>
      </c>
      <c r="D195" s="12" t="s">
        <v>47</v>
      </c>
      <c r="E195" s="19" t="s">
        <v>287</v>
      </c>
      <c r="F195" s="12"/>
      <c r="G195" s="18" t="s">
        <v>288</v>
      </c>
      <c r="H195" s="15" t="s">
        <v>46</v>
      </c>
      <c r="I195" s="12">
        <v>4</v>
      </c>
      <c r="J195" s="12"/>
      <c r="K195" s="16">
        <v>0.5</v>
      </c>
    </row>
    <row r="196" spans="1:11" x14ac:dyDescent="0.2">
      <c r="A196" s="12"/>
      <c r="B196" s="15"/>
      <c r="C196" s="12"/>
      <c r="D196" s="12" t="s">
        <v>47</v>
      </c>
      <c r="E196" s="19" t="s">
        <v>291</v>
      </c>
      <c r="F196" s="21"/>
      <c r="G196" s="18" t="s">
        <v>292</v>
      </c>
      <c r="H196" s="15"/>
      <c r="I196" s="12">
        <v>1</v>
      </c>
      <c r="J196" s="21"/>
      <c r="K196" s="16">
        <v>0.15</v>
      </c>
    </row>
    <row r="197" spans="1:11" x14ac:dyDescent="0.2">
      <c r="A197" s="12"/>
      <c r="B197" s="15"/>
      <c r="C197" s="12"/>
      <c r="D197" s="12" t="s">
        <v>47</v>
      </c>
      <c r="E197" s="19" t="s">
        <v>291</v>
      </c>
      <c r="F197" s="15" t="s">
        <v>46</v>
      </c>
      <c r="G197" s="19" t="s">
        <v>293</v>
      </c>
      <c r="H197" s="15" t="s">
        <v>46</v>
      </c>
      <c r="I197" s="12">
        <v>1</v>
      </c>
      <c r="J197" s="15" t="s">
        <v>46</v>
      </c>
      <c r="K197" s="16">
        <v>0.15</v>
      </c>
    </row>
    <row r="198" spans="1:11" x14ac:dyDescent="0.2">
      <c r="A198" s="12"/>
      <c r="B198" s="15"/>
      <c r="C198" s="12"/>
      <c r="D198" s="12" t="s">
        <v>47</v>
      </c>
      <c r="E198" s="19" t="s">
        <v>291</v>
      </c>
      <c r="F198" s="15"/>
      <c r="G198" s="18" t="s">
        <v>294</v>
      </c>
      <c r="H198" s="15"/>
      <c r="I198" s="12">
        <v>1</v>
      </c>
      <c r="J198" s="15"/>
      <c r="K198" s="16">
        <v>0.15</v>
      </c>
    </row>
    <row r="199" spans="1:11" x14ac:dyDescent="0.2">
      <c r="A199" s="12"/>
      <c r="B199" s="15"/>
      <c r="C199" s="12"/>
      <c r="D199" s="12" t="s">
        <v>47</v>
      </c>
      <c r="E199" s="19" t="s">
        <v>295</v>
      </c>
      <c r="F199" s="15"/>
      <c r="G199" s="18" t="s">
        <v>296</v>
      </c>
      <c r="H199" s="15"/>
      <c r="I199" s="12">
        <v>1</v>
      </c>
      <c r="J199" s="15"/>
      <c r="K199" s="16">
        <v>0.2</v>
      </c>
    </row>
    <row r="200" spans="1:11" x14ac:dyDescent="0.2">
      <c r="A200" s="12"/>
      <c r="B200" s="15"/>
      <c r="C200" s="12"/>
      <c r="D200" s="12" t="s">
        <v>47</v>
      </c>
      <c r="E200" s="19" t="s">
        <v>297</v>
      </c>
      <c r="F200" s="15"/>
      <c r="G200" s="18" t="s">
        <v>298</v>
      </c>
      <c r="H200" s="15"/>
      <c r="I200" s="12">
        <v>7</v>
      </c>
      <c r="J200" s="15"/>
      <c r="K200" s="16">
        <v>0.35</v>
      </c>
    </row>
    <row r="201" spans="1:11" ht="127.5" x14ac:dyDescent="0.2">
      <c r="A201" s="12"/>
      <c r="B201" s="15"/>
      <c r="C201" s="12"/>
      <c r="D201" s="12" t="s">
        <v>47</v>
      </c>
      <c r="E201" s="19" t="s">
        <v>299</v>
      </c>
      <c r="F201" s="15"/>
      <c r="G201" s="18" t="s">
        <v>300</v>
      </c>
      <c r="H201" s="15"/>
      <c r="I201" s="12">
        <v>7</v>
      </c>
      <c r="J201" s="15"/>
      <c r="K201" s="16">
        <v>0.35</v>
      </c>
    </row>
    <row r="202" spans="1:11" x14ac:dyDescent="0.2">
      <c r="A202" s="12"/>
      <c r="B202" s="15"/>
      <c r="C202" s="12"/>
      <c r="D202" s="12" t="s">
        <v>47</v>
      </c>
      <c r="E202" s="19" t="s">
        <v>301</v>
      </c>
      <c r="F202" s="15"/>
      <c r="G202" s="18" t="s">
        <v>302</v>
      </c>
      <c r="H202" s="15"/>
      <c r="I202" s="12">
        <v>6</v>
      </c>
      <c r="J202" s="15"/>
      <c r="K202" s="16">
        <v>0.3</v>
      </c>
    </row>
    <row r="203" spans="1:11" x14ac:dyDescent="0.2">
      <c r="A203" s="12"/>
      <c r="B203" s="15"/>
      <c r="C203" s="12"/>
      <c r="D203" s="12" t="s">
        <v>47</v>
      </c>
      <c r="E203" s="19" t="s">
        <v>301</v>
      </c>
      <c r="F203" s="15"/>
      <c r="G203" s="18" t="s">
        <v>303</v>
      </c>
      <c r="H203" s="15"/>
      <c r="I203" s="12">
        <v>6</v>
      </c>
      <c r="J203" s="15"/>
      <c r="K203" s="16">
        <v>0.35</v>
      </c>
    </row>
    <row r="204" spans="1:11" ht="25.5" x14ac:dyDescent="0.2">
      <c r="A204" s="12"/>
      <c r="B204" s="15"/>
      <c r="C204" s="12"/>
      <c r="D204" s="12" t="s">
        <v>47</v>
      </c>
      <c r="E204" s="19" t="s">
        <v>301</v>
      </c>
      <c r="F204" s="15"/>
      <c r="G204" s="18" t="s">
        <v>304</v>
      </c>
      <c r="H204" s="15"/>
      <c r="I204" s="12">
        <v>1</v>
      </c>
      <c r="J204" s="15"/>
      <c r="K204" s="16">
        <v>0.3</v>
      </c>
    </row>
    <row r="205" spans="1:11" ht="25.5" x14ac:dyDescent="0.2">
      <c r="A205" s="12"/>
      <c r="B205" s="15"/>
      <c r="C205" s="12"/>
      <c r="D205" s="12" t="s">
        <v>47</v>
      </c>
      <c r="E205" s="19" t="s">
        <v>301</v>
      </c>
      <c r="F205" s="15"/>
      <c r="G205" s="18" t="s">
        <v>305</v>
      </c>
      <c r="H205" s="15"/>
      <c r="I205" s="21">
        <v>1</v>
      </c>
      <c r="J205" s="15"/>
      <c r="K205" s="16">
        <v>0.15</v>
      </c>
    </row>
    <row r="206" spans="1:11" ht="25.5" x14ac:dyDescent="0.2">
      <c r="A206" s="12"/>
      <c r="B206" s="15"/>
      <c r="C206" s="12"/>
      <c r="D206" s="12" t="s">
        <v>47</v>
      </c>
      <c r="E206" s="19" t="s">
        <v>301</v>
      </c>
      <c r="F206" s="15"/>
      <c r="G206" s="18" t="s">
        <v>306</v>
      </c>
      <c r="H206" s="15"/>
      <c r="I206" s="21">
        <v>1</v>
      </c>
      <c r="J206" s="15"/>
      <c r="K206" s="16">
        <v>0.2</v>
      </c>
    </row>
    <row r="207" spans="1:11" ht="25.5" x14ac:dyDescent="0.2">
      <c r="A207" s="12"/>
      <c r="B207" s="15"/>
      <c r="C207" s="12"/>
      <c r="D207" s="12" t="s">
        <v>47</v>
      </c>
      <c r="E207" s="19" t="s">
        <v>301</v>
      </c>
      <c r="F207" s="15"/>
      <c r="G207" s="18" t="s">
        <v>307</v>
      </c>
      <c r="H207" s="15"/>
      <c r="I207" s="21">
        <v>1</v>
      </c>
      <c r="J207" s="15"/>
      <c r="K207" s="16">
        <v>0.15</v>
      </c>
    </row>
    <row r="208" spans="1:11" x14ac:dyDescent="0.2">
      <c r="A208" s="12"/>
      <c r="B208" s="15"/>
      <c r="C208" s="12"/>
      <c r="D208" s="12" t="s">
        <v>47</v>
      </c>
      <c r="E208" s="19" t="s">
        <v>301</v>
      </c>
      <c r="F208" s="15"/>
      <c r="G208" s="18" t="s">
        <v>308</v>
      </c>
      <c r="H208" s="15"/>
      <c r="I208" s="21">
        <v>1</v>
      </c>
      <c r="J208" s="15"/>
      <c r="K208" s="16">
        <v>0.35</v>
      </c>
    </row>
    <row r="209" spans="1:11" ht="25.5" x14ac:dyDescent="0.2">
      <c r="A209" s="12" t="s">
        <v>46</v>
      </c>
      <c r="B209" s="15" t="s">
        <v>46</v>
      </c>
      <c r="C209" s="12" t="s">
        <v>46</v>
      </c>
      <c r="D209" s="12" t="s">
        <v>47</v>
      </c>
      <c r="E209" s="15" t="s">
        <v>309</v>
      </c>
      <c r="F209" s="12" t="s">
        <v>46</v>
      </c>
      <c r="G209" s="20" t="s">
        <v>310</v>
      </c>
      <c r="H209" s="15" t="s">
        <v>46</v>
      </c>
      <c r="I209" s="12">
        <v>1</v>
      </c>
      <c r="J209" s="12"/>
      <c r="K209" s="16">
        <v>0.45</v>
      </c>
    </row>
    <row r="210" spans="1:11" x14ac:dyDescent="0.2">
      <c r="A210" s="12" t="s">
        <v>46</v>
      </c>
      <c r="B210" s="15" t="s">
        <v>46</v>
      </c>
      <c r="C210" s="12" t="s">
        <v>46</v>
      </c>
      <c r="D210" s="12" t="s">
        <v>47</v>
      </c>
      <c r="E210" s="15" t="s">
        <v>309</v>
      </c>
      <c r="F210" s="12" t="s">
        <v>46</v>
      </c>
      <c r="G210" s="20" t="s">
        <v>311</v>
      </c>
      <c r="H210" s="15" t="s">
        <v>46</v>
      </c>
      <c r="I210" s="12">
        <v>1</v>
      </c>
      <c r="J210" s="12"/>
      <c r="K210" s="16">
        <v>0.15</v>
      </c>
    </row>
    <row r="211" spans="1:11" x14ac:dyDescent="0.2">
      <c r="A211" s="12"/>
      <c r="B211" s="15"/>
      <c r="C211" s="12"/>
      <c r="D211" s="12" t="s">
        <v>47</v>
      </c>
      <c r="E211" s="15" t="s">
        <v>309</v>
      </c>
      <c r="F211" s="12"/>
      <c r="G211" s="20" t="s">
        <v>312</v>
      </c>
      <c r="H211" s="15"/>
      <c r="I211" s="12">
        <v>1</v>
      </c>
      <c r="J211" s="12"/>
      <c r="K211" s="16">
        <v>0.55000000000000004</v>
      </c>
    </row>
    <row r="212" spans="1:11" x14ac:dyDescent="0.2">
      <c r="A212" s="12"/>
      <c r="B212" s="15"/>
      <c r="C212" s="12"/>
      <c r="D212" s="12" t="s">
        <v>47</v>
      </c>
      <c r="E212" s="15" t="s">
        <v>313</v>
      </c>
      <c r="F212" s="12"/>
      <c r="G212" s="15" t="s">
        <v>314</v>
      </c>
      <c r="H212" s="15"/>
      <c r="I212" s="12">
        <v>1</v>
      </c>
      <c r="J212" s="12"/>
      <c r="K212" s="16">
        <v>0.35</v>
      </c>
    </row>
    <row r="213" spans="1:11" x14ac:dyDescent="0.2">
      <c r="A213" s="12"/>
      <c r="B213" s="15"/>
      <c r="C213" s="12"/>
      <c r="D213" s="12" t="s">
        <v>47</v>
      </c>
      <c r="E213" s="15" t="s">
        <v>313</v>
      </c>
      <c r="F213" s="12"/>
      <c r="G213" s="15" t="s">
        <v>315</v>
      </c>
      <c r="H213" s="15"/>
      <c r="I213" s="12">
        <v>5</v>
      </c>
      <c r="J213" s="12"/>
      <c r="K213" s="16">
        <v>0.35</v>
      </c>
    </row>
    <row r="214" spans="1:11" x14ac:dyDescent="0.2">
      <c r="A214" s="12"/>
      <c r="B214" s="15"/>
      <c r="C214" s="12"/>
      <c r="D214" s="12" t="s">
        <v>47</v>
      </c>
      <c r="E214" s="15" t="s">
        <v>313</v>
      </c>
      <c r="F214" s="12"/>
      <c r="G214" s="15" t="s">
        <v>316</v>
      </c>
      <c r="H214" s="15"/>
      <c r="I214" s="12">
        <v>5</v>
      </c>
      <c r="J214" s="12"/>
      <c r="K214" s="16">
        <v>0.35</v>
      </c>
    </row>
    <row r="215" spans="1:11" x14ac:dyDescent="0.2">
      <c r="A215" s="12"/>
      <c r="B215" s="15"/>
      <c r="C215" s="12"/>
      <c r="D215" s="12" t="s">
        <v>47</v>
      </c>
      <c r="E215" s="15" t="s">
        <v>313</v>
      </c>
      <c r="F215" s="12"/>
      <c r="G215" s="15" t="s">
        <v>317</v>
      </c>
      <c r="H215" s="15"/>
      <c r="I215" s="12">
        <v>5</v>
      </c>
      <c r="J215" s="12"/>
      <c r="K215" s="16">
        <v>0.35</v>
      </c>
    </row>
    <row r="216" spans="1:11" x14ac:dyDescent="0.2">
      <c r="A216" s="12"/>
      <c r="B216" s="15"/>
      <c r="C216" s="12"/>
      <c r="D216" s="12" t="s">
        <v>47</v>
      </c>
      <c r="E216" s="15" t="s">
        <v>313</v>
      </c>
      <c r="F216" s="12"/>
      <c r="G216" s="15" t="s">
        <v>318</v>
      </c>
      <c r="H216" s="15"/>
      <c r="I216" s="12">
        <v>5</v>
      </c>
      <c r="J216" s="12"/>
      <c r="K216" s="16">
        <v>0.35</v>
      </c>
    </row>
    <row r="217" spans="1:11" x14ac:dyDescent="0.2">
      <c r="A217" s="12"/>
      <c r="B217" s="15"/>
      <c r="C217" s="12"/>
      <c r="D217" s="12" t="s">
        <v>47</v>
      </c>
      <c r="E217" s="15" t="s">
        <v>319</v>
      </c>
      <c r="F217" s="12"/>
      <c r="G217" s="15" t="s">
        <v>315</v>
      </c>
      <c r="H217" s="15"/>
      <c r="I217" s="12">
        <v>7</v>
      </c>
      <c r="J217" s="12"/>
      <c r="K217" s="16">
        <v>0.35</v>
      </c>
    </row>
    <row r="218" spans="1:11" x14ac:dyDescent="0.2">
      <c r="A218" s="12"/>
      <c r="B218" s="15"/>
      <c r="C218" s="12"/>
      <c r="D218" s="12" t="s">
        <v>47</v>
      </c>
      <c r="E218" s="15" t="s">
        <v>319</v>
      </c>
      <c r="F218" s="12"/>
      <c r="G218" s="15" t="s">
        <v>320</v>
      </c>
      <c r="H218" s="15"/>
      <c r="I218" s="12">
        <v>7</v>
      </c>
      <c r="J218" s="12"/>
      <c r="K218" s="16">
        <v>0.35</v>
      </c>
    </row>
    <row r="219" spans="1:11" x14ac:dyDescent="0.2">
      <c r="A219" s="12"/>
      <c r="B219" s="15"/>
      <c r="C219" s="12"/>
      <c r="D219" s="12" t="s">
        <v>47</v>
      </c>
      <c r="E219" s="15" t="s">
        <v>319</v>
      </c>
      <c r="F219" s="12"/>
      <c r="G219" s="15" t="s">
        <v>321</v>
      </c>
      <c r="H219" s="15"/>
      <c r="I219" s="12">
        <v>7</v>
      </c>
      <c r="J219" s="12"/>
      <c r="K219" s="16">
        <v>0.35</v>
      </c>
    </row>
    <row r="220" spans="1:11" x14ac:dyDescent="0.2">
      <c r="A220" s="12"/>
      <c r="B220" s="15"/>
      <c r="C220" s="12"/>
      <c r="D220" s="12" t="s">
        <v>47</v>
      </c>
      <c r="E220" s="15" t="s">
        <v>319</v>
      </c>
      <c r="F220" s="12"/>
      <c r="G220" s="15" t="s">
        <v>322</v>
      </c>
      <c r="H220" s="15"/>
      <c r="I220" s="12">
        <v>7</v>
      </c>
      <c r="J220" s="12"/>
      <c r="K220" s="16">
        <v>0.35</v>
      </c>
    </row>
    <row r="221" spans="1:11" x14ac:dyDescent="0.2">
      <c r="A221" s="12"/>
      <c r="B221" s="15"/>
      <c r="C221" s="12"/>
      <c r="D221" s="12" t="s">
        <v>47</v>
      </c>
      <c r="E221" s="15" t="s">
        <v>319</v>
      </c>
      <c r="F221" s="12"/>
      <c r="G221" s="15" t="s">
        <v>323</v>
      </c>
      <c r="H221" s="15"/>
      <c r="I221" s="12">
        <v>7</v>
      </c>
      <c r="J221" s="12"/>
      <c r="K221" s="16">
        <v>0.35</v>
      </c>
    </row>
    <row r="222" spans="1:11" x14ac:dyDescent="0.2">
      <c r="A222" s="12"/>
      <c r="B222" s="15"/>
      <c r="C222" s="12"/>
      <c r="D222" s="12" t="s">
        <v>47</v>
      </c>
      <c r="E222" s="15" t="s">
        <v>324</v>
      </c>
      <c r="F222" s="12"/>
      <c r="G222" s="15" t="s">
        <v>325</v>
      </c>
      <c r="H222" s="15"/>
      <c r="I222" s="12">
        <v>7</v>
      </c>
      <c r="J222" s="12"/>
      <c r="K222" s="16">
        <v>0.35</v>
      </c>
    </row>
    <row r="223" spans="1:11" x14ac:dyDescent="0.2">
      <c r="A223" s="12"/>
      <c r="B223" s="15"/>
      <c r="C223" s="12"/>
      <c r="D223" s="12" t="s">
        <v>47</v>
      </c>
      <c r="E223" s="15" t="s">
        <v>324</v>
      </c>
      <c r="F223" s="12"/>
      <c r="G223" s="15" t="s">
        <v>326</v>
      </c>
      <c r="H223" s="15"/>
      <c r="I223" s="12">
        <v>7</v>
      </c>
      <c r="J223" s="12"/>
      <c r="K223" s="16">
        <v>0.35</v>
      </c>
    </row>
    <row r="224" spans="1:11" x14ac:dyDescent="0.2">
      <c r="A224" s="12"/>
      <c r="B224" s="15"/>
      <c r="C224" s="12"/>
      <c r="D224" s="12" t="s">
        <v>47</v>
      </c>
      <c r="E224" s="15" t="s">
        <v>327</v>
      </c>
      <c r="F224" s="12"/>
      <c r="G224" s="15" t="s">
        <v>315</v>
      </c>
      <c r="H224" s="15"/>
      <c r="I224" s="12">
        <v>7</v>
      </c>
      <c r="J224" s="12"/>
      <c r="K224" s="16">
        <v>0.35</v>
      </c>
    </row>
    <row r="225" spans="1:11" x14ac:dyDescent="0.2">
      <c r="A225" s="12"/>
      <c r="B225" s="15"/>
      <c r="C225" s="12"/>
      <c r="D225" s="12" t="s">
        <v>47</v>
      </c>
      <c r="E225" s="15" t="s">
        <v>327</v>
      </c>
      <c r="F225" s="12"/>
      <c r="G225" s="19" t="s">
        <v>320</v>
      </c>
      <c r="H225" s="15"/>
      <c r="I225" s="12">
        <v>7</v>
      </c>
      <c r="J225" s="12"/>
      <c r="K225" s="16">
        <v>0.35</v>
      </c>
    </row>
    <row r="226" spans="1:11" x14ac:dyDescent="0.2">
      <c r="A226" s="12"/>
      <c r="B226" s="15"/>
      <c r="C226" s="12"/>
      <c r="D226" s="12" t="s">
        <v>47</v>
      </c>
      <c r="E226" s="15" t="s">
        <v>327</v>
      </c>
      <c r="F226" s="12"/>
      <c r="G226" s="19" t="s">
        <v>321</v>
      </c>
      <c r="H226" s="15"/>
      <c r="I226" s="12">
        <v>7</v>
      </c>
      <c r="J226" s="12"/>
      <c r="K226" s="16">
        <v>0.35</v>
      </c>
    </row>
    <row r="227" spans="1:11" x14ac:dyDescent="0.2">
      <c r="A227" s="12"/>
      <c r="B227" s="15"/>
      <c r="C227" s="12"/>
      <c r="D227" s="12" t="s">
        <v>47</v>
      </c>
      <c r="E227" s="15" t="s">
        <v>327</v>
      </c>
      <c r="F227" s="12"/>
      <c r="G227" s="19" t="s">
        <v>328</v>
      </c>
      <c r="H227" s="15"/>
      <c r="I227" s="12">
        <v>7</v>
      </c>
      <c r="J227" s="12"/>
      <c r="K227" s="16">
        <v>0.35</v>
      </c>
    </row>
    <row r="228" spans="1:11" x14ac:dyDescent="0.2">
      <c r="A228" s="12"/>
      <c r="B228" s="15"/>
      <c r="C228" s="12"/>
      <c r="D228" s="12" t="s">
        <v>47</v>
      </c>
      <c r="E228" s="19" t="s">
        <v>106</v>
      </c>
      <c r="F228" s="12"/>
      <c r="G228" s="19" t="s">
        <v>329</v>
      </c>
      <c r="H228" s="15"/>
      <c r="I228" s="12">
        <v>7</v>
      </c>
      <c r="J228" s="12"/>
      <c r="K228" s="16">
        <v>0.35</v>
      </c>
    </row>
    <row r="229" spans="1:11" x14ac:dyDescent="0.2">
      <c r="A229" s="12"/>
      <c r="B229" s="15"/>
      <c r="C229" s="12"/>
      <c r="D229" s="12" t="s">
        <v>47</v>
      </c>
      <c r="E229" s="19" t="s">
        <v>107</v>
      </c>
      <c r="F229" s="12"/>
      <c r="G229" s="19" t="s">
        <v>330</v>
      </c>
      <c r="H229" s="15"/>
      <c r="I229" s="12">
        <v>7</v>
      </c>
      <c r="J229" s="12"/>
      <c r="K229" s="16">
        <v>0.35</v>
      </c>
    </row>
    <row r="230" spans="1:11" x14ac:dyDescent="0.2">
      <c r="A230" s="12"/>
      <c r="B230" s="15"/>
      <c r="C230" s="12"/>
      <c r="D230" s="12" t="s">
        <v>47</v>
      </c>
      <c r="E230" s="19" t="s">
        <v>108</v>
      </c>
      <c r="F230" s="12"/>
      <c r="G230" s="15" t="s">
        <v>331</v>
      </c>
      <c r="H230" s="15"/>
      <c r="I230" s="12">
        <v>7</v>
      </c>
      <c r="J230" s="12"/>
      <c r="K230" s="16">
        <v>0.35</v>
      </c>
    </row>
    <row r="231" spans="1:11" x14ac:dyDescent="0.2">
      <c r="A231" s="12"/>
      <c r="B231" s="15"/>
      <c r="C231" s="12"/>
      <c r="D231" s="12" t="s">
        <v>47</v>
      </c>
      <c r="E231" s="19" t="s">
        <v>109</v>
      </c>
      <c r="F231" s="12"/>
      <c r="G231" s="15" t="s">
        <v>332</v>
      </c>
      <c r="H231" s="15"/>
      <c r="I231" s="12">
        <v>7</v>
      </c>
      <c r="J231" s="12"/>
      <c r="K231" s="16">
        <v>0.35</v>
      </c>
    </row>
    <row r="232" spans="1:11" x14ac:dyDescent="0.2">
      <c r="A232" s="12"/>
      <c r="B232" s="15"/>
      <c r="C232" s="12"/>
      <c r="D232" s="12" t="s">
        <v>47</v>
      </c>
      <c r="E232" s="19" t="s">
        <v>110</v>
      </c>
      <c r="F232" s="12"/>
      <c r="G232" s="15" t="s">
        <v>333</v>
      </c>
      <c r="H232" s="15"/>
      <c r="I232" s="12">
        <v>7</v>
      </c>
      <c r="J232" s="12"/>
      <c r="K232" s="16">
        <v>0.35</v>
      </c>
    </row>
    <row r="233" spans="1:11" x14ac:dyDescent="0.2">
      <c r="A233" s="12"/>
      <c r="B233" s="15"/>
      <c r="C233" s="12"/>
      <c r="D233" s="12" t="s">
        <v>47</v>
      </c>
      <c r="E233" s="19" t="s">
        <v>111</v>
      </c>
      <c r="F233" s="12"/>
      <c r="G233" s="15" t="s">
        <v>334</v>
      </c>
      <c r="H233" s="15"/>
      <c r="I233" s="12">
        <v>7</v>
      </c>
      <c r="J233" s="12"/>
      <c r="K233" s="16">
        <v>0.35</v>
      </c>
    </row>
    <row r="234" spans="1:11" x14ac:dyDescent="0.2">
      <c r="A234" s="12"/>
      <c r="B234" s="15"/>
      <c r="C234" s="12"/>
      <c r="D234" s="12" t="s">
        <v>47</v>
      </c>
      <c r="E234" s="19" t="s">
        <v>112</v>
      </c>
      <c r="F234" s="12"/>
      <c r="G234" s="15" t="s">
        <v>335</v>
      </c>
      <c r="H234" s="15"/>
      <c r="I234" s="12">
        <v>7</v>
      </c>
      <c r="J234" s="12"/>
      <c r="K234" s="16">
        <v>0.35</v>
      </c>
    </row>
    <row r="235" spans="1:11" x14ac:dyDescent="0.2">
      <c r="A235" s="12"/>
      <c r="B235" s="15"/>
      <c r="C235" s="12"/>
      <c r="D235" s="12" t="s">
        <v>47</v>
      </c>
      <c r="E235" s="19" t="s">
        <v>113</v>
      </c>
      <c r="F235" s="12"/>
      <c r="G235" s="15" t="s">
        <v>336</v>
      </c>
      <c r="H235" s="15"/>
      <c r="I235" s="12">
        <v>7</v>
      </c>
      <c r="J235" s="12"/>
      <c r="K235" s="16">
        <v>0.35</v>
      </c>
    </row>
    <row r="236" spans="1:11" x14ac:dyDescent="0.2">
      <c r="A236" s="12"/>
      <c r="B236" s="15"/>
      <c r="C236" s="12"/>
      <c r="D236" s="12" t="s">
        <v>47</v>
      </c>
      <c r="E236" s="19" t="s">
        <v>114</v>
      </c>
      <c r="F236" s="12"/>
      <c r="G236" s="15" t="s">
        <v>337</v>
      </c>
      <c r="H236" s="15"/>
      <c r="I236" s="12">
        <v>7</v>
      </c>
      <c r="J236" s="12"/>
      <c r="K236" s="16">
        <v>0.35</v>
      </c>
    </row>
    <row r="237" spans="1:11" x14ac:dyDescent="0.2">
      <c r="A237" s="12"/>
      <c r="B237" s="15"/>
      <c r="C237" s="12"/>
      <c r="D237" s="12" t="s">
        <v>47</v>
      </c>
      <c r="E237" s="19" t="s">
        <v>115</v>
      </c>
      <c r="F237" s="12"/>
      <c r="G237" s="15" t="s">
        <v>338</v>
      </c>
      <c r="H237" s="15"/>
      <c r="I237" s="12">
        <v>7</v>
      </c>
      <c r="J237" s="12"/>
      <c r="K237" s="16">
        <v>0.35</v>
      </c>
    </row>
    <row r="238" spans="1:11" x14ac:dyDescent="0.2">
      <c r="A238" s="12"/>
      <c r="B238" s="15"/>
      <c r="C238" s="12"/>
      <c r="D238" s="12" t="s">
        <v>47</v>
      </c>
      <c r="E238" s="19" t="s">
        <v>116</v>
      </c>
      <c r="F238" s="12"/>
      <c r="G238" s="15" t="s">
        <v>339</v>
      </c>
      <c r="H238" s="15"/>
      <c r="I238" s="12">
        <v>7</v>
      </c>
      <c r="J238" s="12"/>
      <c r="K238" s="16">
        <v>0.35</v>
      </c>
    </row>
    <row r="239" spans="1:11" x14ac:dyDescent="0.2">
      <c r="A239" s="12"/>
      <c r="B239" s="15"/>
      <c r="C239" s="12"/>
      <c r="D239" s="12" t="s">
        <v>47</v>
      </c>
      <c r="E239" s="19" t="s">
        <v>117</v>
      </c>
      <c r="F239" s="12"/>
      <c r="G239" s="15" t="s">
        <v>340</v>
      </c>
      <c r="H239" s="15"/>
      <c r="I239" s="12">
        <v>7</v>
      </c>
      <c r="J239" s="12"/>
      <c r="K239" s="16">
        <v>0.35</v>
      </c>
    </row>
    <row r="240" spans="1:11" x14ac:dyDescent="0.2">
      <c r="A240" s="12"/>
      <c r="B240" s="15"/>
      <c r="C240" s="12"/>
      <c r="D240" s="12" t="s">
        <v>47</v>
      </c>
      <c r="E240" s="19" t="s">
        <v>118</v>
      </c>
      <c r="F240" s="12"/>
      <c r="G240" s="15" t="s">
        <v>341</v>
      </c>
      <c r="H240" s="15"/>
      <c r="I240" s="12">
        <v>7</v>
      </c>
      <c r="J240" s="12"/>
      <c r="K240" s="16">
        <v>0.35</v>
      </c>
    </row>
    <row r="241" spans="1:14" x14ac:dyDescent="0.2">
      <c r="A241" s="12"/>
      <c r="B241" s="15"/>
      <c r="C241" s="12"/>
      <c r="D241" s="12" t="s">
        <v>47</v>
      </c>
      <c r="E241" s="19" t="s">
        <v>119</v>
      </c>
      <c r="F241" s="12"/>
      <c r="G241" s="15" t="s">
        <v>342</v>
      </c>
      <c r="H241" s="15"/>
      <c r="I241" s="12">
        <v>7</v>
      </c>
      <c r="J241" s="12"/>
      <c r="K241" s="16">
        <v>0.35</v>
      </c>
    </row>
    <row r="242" spans="1:14" x14ac:dyDescent="0.2">
      <c r="A242" s="12"/>
      <c r="B242" s="15"/>
      <c r="C242" s="12"/>
      <c r="D242" s="12" t="s">
        <v>47</v>
      </c>
      <c r="E242" s="19" t="s">
        <v>120</v>
      </c>
      <c r="F242" s="12"/>
      <c r="G242" s="15" t="s">
        <v>340</v>
      </c>
      <c r="H242" s="15"/>
      <c r="I242" s="12">
        <v>7</v>
      </c>
      <c r="J242" s="12"/>
      <c r="K242" s="16">
        <v>0.35</v>
      </c>
    </row>
    <row r="243" spans="1:14" x14ac:dyDescent="0.2">
      <c r="A243" s="12" t="s">
        <v>46</v>
      </c>
      <c r="B243" s="15" t="s">
        <v>46</v>
      </c>
      <c r="C243" s="12" t="s">
        <v>46</v>
      </c>
      <c r="D243" s="12" t="s">
        <v>47</v>
      </c>
      <c r="E243" s="15" t="s">
        <v>121</v>
      </c>
      <c r="F243" s="12" t="s">
        <v>46</v>
      </c>
      <c r="G243" s="15" t="s">
        <v>122</v>
      </c>
      <c r="H243" s="15"/>
      <c r="I243" s="12">
        <v>4</v>
      </c>
      <c r="J243" s="12"/>
      <c r="K243" s="16">
        <v>1</v>
      </c>
    </row>
    <row r="244" spans="1:14" x14ac:dyDescent="0.2">
      <c r="A244" s="12"/>
      <c r="B244" s="15"/>
      <c r="C244" s="12"/>
      <c r="D244" s="12" t="s">
        <v>59</v>
      </c>
      <c r="E244" s="15" t="s">
        <v>282</v>
      </c>
      <c r="F244" s="12" t="s">
        <v>46</v>
      </c>
      <c r="G244" s="15" t="s">
        <v>46</v>
      </c>
      <c r="H244" s="15" t="s">
        <v>46</v>
      </c>
      <c r="I244" s="12">
        <v>4</v>
      </c>
      <c r="J244" s="12"/>
      <c r="K244" s="16">
        <v>1</v>
      </c>
    </row>
    <row r="245" spans="1:14" x14ac:dyDescent="0.2">
      <c r="A245" s="12"/>
      <c r="B245" s="15"/>
      <c r="C245" s="12"/>
      <c r="D245" s="12" t="s">
        <v>46</v>
      </c>
      <c r="E245" s="15" t="s">
        <v>46</v>
      </c>
      <c r="F245" s="12">
        <v>0</v>
      </c>
      <c r="G245" s="15" t="s">
        <v>283</v>
      </c>
      <c r="H245" s="15" t="s">
        <v>46</v>
      </c>
      <c r="I245" s="12"/>
      <c r="J245" s="12"/>
      <c r="K245" s="16"/>
    </row>
    <row r="246" spans="1:14" x14ac:dyDescent="0.2">
      <c r="A246" s="12"/>
      <c r="B246" s="15"/>
      <c r="C246" s="12"/>
      <c r="D246" s="12" t="s">
        <v>46</v>
      </c>
      <c r="E246" s="15" t="s">
        <v>46</v>
      </c>
      <c r="F246" s="12">
        <v>1</v>
      </c>
      <c r="G246" s="15" t="s">
        <v>284</v>
      </c>
      <c r="H246" s="15" t="s">
        <v>46</v>
      </c>
      <c r="I246" s="12"/>
      <c r="J246" s="12"/>
      <c r="K246" s="16"/>
    </row>
    <row r="247" spans="1:14" x14ac:dyDescent="0.2">
      <c r="A247" s="12"/>
      <c r="B247" s="15"/>
      <c r="C247" s="12"/>
      <c r="D247" s="12" t="s">
        <v>46</v>
      </c>
      <c r="E247" s="15" t="s">
        <v>46</v>
      </c>
      <c r="F247" s="12">
        <v>2</v>
      </c>
      <c r="G247" s="15" t="s">
        <v>285</v>
      </c>
      <c r="H247" s="15" t="s">
        <v>46</v>
      </c>
      <c r="I247" s="12"/>
      <c r="J247" s="12"/>
      <c r="K247" s="16"/>
    </row>
    <row r="248" spans="1:14" x14ac:dyDescent="0.2">
      <c r="A248" s="12"/>
      <c r="B248" s="15"/>
      <c r="C248" s="12"/>
      <c r="D248" s="12" t="s">
        <v>46</v>
      </c>
      <c r="E248" s="15" t="s">
        <v>46</v>
      </c>
      <c r="F248" s="12">
        <v>3</v>
      </c>
      <c r="G248" s="15" t="s">
        <v>286</v>
      </c>
      <c r="H248" s="15" t="s">
        <v>46</v>
      </c>
      <c r="I248" s="12"/>
      <c r="J248" s="12"/>
      <c r="K248" s="16"/>
    </row>
    <row r="249" spans="1:14" x14ac:dyDescent="0.2">
      <c r="A249" s="12" t="s">
        <v>46</v>
      </c>
      <c r="B249" s="15" t="s">
        <v>46</v>
      </c>
      <c r="C249" s="12" t="s">
        <v>46</v>
      </c>
      <c r="D249" s="12" t="s">
        <v>46</v>
      </c>
      <c r="E249" s="15" t="s">
        <v>46</v>
      </c>
      <c r="F249" s="12" t="s">
        <v>46</v>
      </c>
      <c r="G249" s="15" t="s">
        <v>46</v>
      </c>
      <c r="H249" s="15" t="s">
        <v>46</v>
      </c>
      <c r="I249" s="12"/>
      <c r="J249" s="12"/>
      <c r="K249" s="16"/>
    </row>
    <row r="250" spans="1:14" x14ac:dyDescent="0.2">
      <c r="A250" s="12" t="s">
        <v>46</v>
      </c>
      <c r="B250" s="15" t="s">
        <v>46</v>
      </c>
      <c r="C250" s="12" t="s">
        <v>46</v>
      </c>
      <c r="D250" s="12" t="s">
        <v>46</v>
      </c>
      <c r="E250" s="15" t="s">
        <v>46</v>
      </c>
      <c r="F250" s="12" t="s">
        <v>46</v>
      </c>
      <c r="G250" s="15" t="s">
        <v>46</v>
      </c>
      <c r="H250" s="15" t="s">
        <v>46</v>
      </c>
      <c r="I250" s="12"/>
      <c r="J250" s="12"/>
      <c r="K250" s="16"/>
    </row>
    <row r="251" spans="1:14" ht="153" x14ac:dyDescent="0.2">
      <c r="A251" s="3" t="s">
        <v>31</v>
      </c>
      <c r="B251" s="3" t="s">
        <v>32</v>
      </c>
      <c r="C251" s="3" t="s">
        <v>33</v>
      </c>
      <c r="D251" s="3" t="s">
        <v>34</v>
      </c>
      <c r="E251" s="3" t="s">
        <v>35</v>
      </c>
      <c r="F251" s="3" t="s">
        <v>36</v>
      </c>
      <c r="G251" s="3" t="s">
        <v>37</v>
      </c>
      <c r="H251" s="3" t="s">
        <v>38</v>
      </c>
      <c r="I251" s="3" t="s">
        <v>39</v>
      </c>
      <c r="J251" s="3" t="s">
        <v>40</v>
      </c>
      <c r="K251" s="3" t="s">
        <v>41</v>
      </c>
      <c r="L251" s="4" t="s">
        <v>123</v>
      </c>
      <c r="M251" s="5" t="s">
        <v>43</v>
      </c>
      <c r="N251" s="6">
        <f>SUM(K252:K253)</f>
        <v>0</v>
      </c>
    </row>
    <row r="252" spans="1:14" x14ac:dyDescent="0.2">
      <c r="A252" s="12" t="s">
        <v>46</v>
      </c>
      <c r="B252" s="15" t="s">
        <v>46</v>
      </c>
      <c r="C252" s="12" t="s">
        <v>46</v>
      </c>
      <c r="D252" s="12" t="s">
        <v>46</v>
      </c>
      <c r="E252" s="15" t="s">
        <v>46</v>
      </c>
      <c r="F252" s="12" t="s">
        <v>46</v>
      </c>
      <c r="G252" s="15" t="s">
        <v>46</v>
      </c>
      <c r="H252" s="15" t="s">
        <v>46</v>
      </c>
      <c r="I252" s="12"/>
      <c r="J252" s="12"/>
      <c r="K252" s="16"/>
    </row>
    <row r="253" spans="1:14" x14ac:dyDescent="0.2">
      <c r="A253" s="12" t="s">
        <v>46</v>
      </c>
      <c r="B253" s="15" t="s">
        <v>46</v>
      </c>
      <c r="C253" s="12" t="s">
        <v>46</v>
      </c>
      <c r="D253" s="12" t="s">
        <v>46</v>
      </c>
      <c r="E253" s="15" t="s">
        <v>46</v>
      </c>
      <c r="F253" s="12" t="s">
        <v>46</v>
      </c>
      <c r="G253" s="15" t="s">
        <v>46</v>
      </c>
      <c r="H253" s="15" t="s">
        <v>46</v>
      </c>
      <c r="I253" s="12"/>
      <c r="J253" s="12"/>
      <c r="K253" s="16"/>
    </row>
    <row r="254" spans="1:14" ht="153" x14ac:dyDescent="0.2">
      <c r="A254" s="3" t="s">
        <v>31</v>
      </c>
      <c r="B254" s="3" t="s">
        <v>32</v>
      </c>
      <c r="C254" s="3" t="s">
        <v>33</v>
      </c>
      <c r="D254" s="3" t="s">
        <v>34</v>
      </c>
      <c r="E254" s="3" t="s">
        <v>35</v>
      </c>
      <c r="F254" s="3" t="s">
        <v>36</v>
      </c>
      <c r="G254" s="3" t="s">
        <v>37</v>
      </c>
      <c r="H254" s="3" t="s">
        <v>38</v>
      </c>
      <c r="I254" s="3" t="s">
        <v>39</v>
      </c>
      <c r="J254" s="3" t="s">
        <v>40</v>
      </c>
      <c r="K254" s="3" t="s">
        <v>41</v>
      </c>
      <c r="L254" s="4" t="s">
        <v>124</v>
      </c>
      <c r="M254" s="5" t="s">
        <v>43</v>
      </c>
      <c r="N254" s="6">
        <f>SUM(K255:K256)</f>
        <v>0</v>
      </c>
    </row>
    <row r="255" spans="1:14" x14ac:dyDescent="0.2">
      <c r="A255" s="12" t="s">
        <v>46</v>
      </c>
      <c r="B255" s="15" t="s">
        <v>46</v>
      </c>
      <c r="C255" s="12" t="s">
        <v>46</v>
      </c>
      <c r="D255" s="12" t="s">
        <v>46</v>
      </c>
      <c r="E255" s="15" t="s">
        <v>46</v>
      </c>
      <c r="F255" s="12" t="s">
        <v>46</v>
      </c>
      <c r="G255" s="15" t="s">
        <v>46</v>
      </c>
      <c r="H255" s="15" t="s">
        <v>46</v>
      </c>
      <c r="I255" s="12"/>
      <c r="J255" s="12"/>
      <c r="K255" s="16"/>
    </row>
    <row r="256" spans="1:14" x14ac:dyDescent="0.2">
      <c r="A256" s="12" t="s">
        <v>46</v>
      </c>
      <c r="B256" s="15" t="s">
        <v>46</v>
      </c>
      <c r="C256" s="12" t="s">
        <v>46</v>
      </c>
      <c r="D256" s="12" t="s">
        <v>46</v>
      </c>
      <c r="E256" s="15" t="s">
        <v>46</v>
      </c>
      <c r="F256" s="12" t="s">
        <v>46</v>
      </c>
      <c r="G256" s="15" t="s">
        <v>46</v>
      </c>
      <c r="H256" s="15" t="s">
        <v>46</v>
      </c>
      <c r="I256" s="12"/>
      <c r="J256" s="12"/>
      <c r="K256" s="16"/>
    </row>
    <row r="257" spans="1:14" ht="153" x14ac:dyDescent="0.2">
      <c r="A257" s="3" t="s">
        <v>31</v>
      </c>
      <c r="B257" s="3" t="s">
        <v>32</v>
      </c>
      <c r="C257" s="3" t="s">
        <v>33</v>
      </c>
      <c r="D257" s="3" t="s">
        <v>34</v>
      </c>
      <c r="E257" s="3" t="s">
        <v>35</v>
      </c>
      <c r="F257" s="3" t="s">
        <v>36</v>
      </c>
      <c r="G257" s="3" t="s">
        <v>37</v>
      </c>
      <c r="H257" s="3" t="s">
        <v>38</v>
      </c>
      <c r="I257" s="3" t="s">
        <v>39</v>
      </c>
      <c r="J257" s="3" t="s">
        <v>40</v>
      </c>
      <c r="K257" s="3" t="s">
        <v>41</v>
      </c>
      <c r="L257" s="4" t="s">
        <v>125</v>
      </c>
      <c r="M257" s="5" t="s">
        <v>43</v>
      </c>
      <c r="N257" s="6">
        <f>SUM(K258:K259)</f>
        <v>0</v>
      </c>
    </row>
    <row r="258" spans="1:14" x14ac:dyDescent="0.2">
      <c r="A258" s="12" t="s">
        <v>46</v>
      </c>
      <c r="B258" s="15" t="s">
        <v>46</v>
      </c>
      <c r="C258" s="12" t="s">
        <v>46</v>
      </c>
      <c r="D258" s="12" t="s">
        <v>46</v>
      </c>
      <c r="E258" s="15" t="s">
        <v>46</v>
      </c>
      <c r="F258" s="12" t="s">
        <v>46</v>
      </c>
      <c r="G258" s="15" t="s">
        <v>46</v>
      </c>
      <c r="H258" s="15" t="s">
        <v>46</v>
      </c>
      <c r="I258" s="12"/>
      <c r="J258" s="12"/>
      <c r="K258" s="16"/>
    </row>
    <row r="259" spans="1:14" x14ac:dyDescent="0.2">
      <c r="A259" s="12" t="s">
        <v>46</v>
      </c>
      <c r="B259" s="15" t="s">
        <v>46</v>
      </c>
      <c r="C259" s="12" t="s">
        <v>46</v>
      </c>
      <c r="D259" s="12" t="s">
        <v>46</v>
      </c>
      <c r="E259" s="15" t="s">
        <v>46</v>
      </c>
      <c r="F259" s="12" t="s">
        <v>46</v>
      </c>
      <c r="G259" s="15" t="s">
        <v>46</v>
      </c>
      <c r="H259" s="15" t="s">
        <v>46</v>
      </c>
      <c r="I259" s="12"/>
      <c r="J259" s="12"/>
      <c r="K259" s="16"/>
    </row>
    <row r="260" spans="1:14" ht="153" x14ac:dyDescent="0.2">
      <c r="A260" s="3" t="s">
        <v>31</v>
      </c>
      <c r="B260" s="3" t="s">
        <v>32</v>
      </c>
      <c r="C260" s="3" t="s">
        <v>33</v>
      </c>
      <c r="D260" s="3" t="s">
        <v>34</v>
      </c>
      <c r="E260" s="3" t="s">
        <v>35</v>
      </c>
      <c r="F260" s="3" t="s">
        <v>36</v>
      </c>
      <c r="G260" s="3" t="s">
        <v>37</v>
      </c>
      <c r="H260" s="3" t="s">
        <v>38</v>
      </c>
      <c r="I260" s="3" t="s">
        <v>39</v>
      </c>
      <c r="J260" s="3" t="s">
        <v>40</v>
      </c>
      <c r="K260" s="3" t="s">
        <v>41</v>
      </c>
      <c r="L260" s="4" t="s">
        <v>126</v>
      </c>
      <c r="M260" s="5" t="s">
        <v>43</v>
      </c>
      <c r="N260" s="6">
        <f>SUM(K261:K262)</f>
        <v>0</v>
      </c>
    </row>
    <row r="261" spans="1:14" x14ac:dyDescent="0.2">
      <c r="A261" s="12" t="s">
        <v>46</v>
      </c>
      <c r="B261" s="15" t="s">
        <v>46</v>
      </c>
      <c r="C261" s="12" t="s">
        <v>46</v>
      </c>
      <c r="D261" s="12" t="s">
        <v>46</v>
      </c>
      <c r="E261" s="15" t="s">
        <v>46</v>
      </c>
      <c r="F261" s="12" t="s">
        <v>46</v>
      </c>
      <c r="G261" s="15" t="s">
        <v>46</v>
      </c>
      <c r="H261" s="15" t="s">
        <v>46</v>
      </c>
      <c r="I261" s="12"/>
      <c r="J261" s="12"/>
      <c r="K261" s="16"/>
    </row>
    <row r="262" spans="1:14" x14ac:dyDescent="0.2">
      <c r="A262" s="12" t="s">
        <v>46</v>
      </c>
      <c r="B262" s="15" t="s">
        <v>46</v>
      </c>
      <c r="C262" s="12" t="s">
        <v>46</v>
      </c>
      <c r="D262" s="12" t="s">
        <v>46</v>
      </c>
      <c r="E262" s="15" t="s">
        <v>46</v>
      </c>
      <c r="F262" s="12" t="s">
        <v>46</v>
      </c>
      <c r="G262" s="15" t="s">
        <v>46</v>
      </c>
      <c r="H262" s="15" t="s">
        <v>46</v>
      </c>
      <c r="I262" s="12"/>
      <c r="J262" s="12"/>
      <c r="K262" s="16"/>
    </row>
    <row r="263" spans="1:14" ht="153" x14ac:dyDescent="0.2">
      <c r="A263" s="3" t="s">
        <v>31</v>
      </c>
      <c r="B263" s="3" t="s">
        <v>32</v>
      </c>
      <c r="C263" s="3" t="s">
        <v>33</v>
      </c>
      <c r="D263" s="3" t="s">
        <v>34</v>
      </c>
      <c r="E263" s="3" t="s">
        <v>35</v>
      </c>
      <c r="F263" s="3" t="s">
        <v>36</v>
      </c>
      <c r="G263" s="3" t="s">
        <v>37</v>
      </c>
      <c r="H263" s="3" t="s">
        <v>38</v>
      </c>
      <c r="I263" s="3" t="s">
        <v>39</v>
      </c>
      <c r="J263" s="3" t="s">
        <v>40</v>
      </c>
      <c r="K263" s="3" t="s">
        <v>41</v>
      </c>
      <c r="L263" s="4" t="s">
        <v>127</v>
      </c>
      <c r="M263" s="5" t="s">
        <v>43</v>
      </c>
      <c r="N263" s="6">
        <f>SUM(K264:K265)</f>
        <v>0</v>
      </c>
    </row>
    <row r="264" spans="1:14" x14ac:dyDescent="0.2">
      <c r="A264" s="12" t="s">
        <v>46</v>
      </c>
      <c r="B264" s="15" t="s">
        <v>46</v>
      </c>
      <c r="C264" s="12" t="s">
        <v>46</v>
      </c>
      <c r="D264" s="12" t="s">
        <v>46</v>
      </c>
      <c r="E264" s="15" t="s">
        <v>46</v>
      </c>
      <c r="F264" s="12" t="s">
        <v>46</v>
      </c>
      <c r="G264" s="15" t="s">
        <v>46</v>
      </c>
      <c r="H264" s="15" t="s">
        <v>46</v>
      </c>
      <c r="I264" s="12"/>
      <c r="J264" s="12"/>
      <c r="K264" s="16"/>
    </row>
    <row r="265" spans="1:14" x14ac:dyDescent="0.2">
      <c r="A265" s="17" t="s">
        <v>46</v>
      </c>
      <c r="B265" s="17" t="s">
        <v>46</v>
      </c>
      <c r="C265" s="17" t="s">
        <v>46</v>
      </c>
      <c r="D265" s="17" t="s">
        <v>46</v>
      </c>
      <c r="E265" s="17" t="s">
        <v>46</v>
      </c>
      <c r="F265" s="17" t="s">
        <v>46</v>
      </c>
      <c r="G265" s="17" t="s">
        <v>46</v>
      </c>
      <c r="H265" s="17" t="s">
        <v>46</v>
      </c>
      <c r="I265" s="17" t="s">
        <v>46</v>
      </c>
      <c r="J265" s="17" t="s">
        <v>46</v>
      </c>
      <c r="K265" s="17" t="s">
        <v>46</v>
      </c>
    </row>
    <row r="268" spans="1:14" ht="121.5" x14ac:dyDescent="0.2">
      <c r="L268" s="4" t="s">
        <v>128</v>
      </c>
      <c r="M268" s="5" t="s">
        <v>43</v>
      </c>
      <c r="N268" s="6">
        <f>SUM(N1:N266)</f>
        <v>100</v>
      </c>
    </row>
  </sheetData>
  <mergeCells count="22">
    <mergeCell ref="B4:H4"/>
    <mergeCell ref="A3:K3"/>
    <mergeCell ref="A1:K1"/>
    <mergeCell ref="B5:H5"/>
    <mergeCell ref="B6:H6"/>
    <mergeCell ref="B7:H7"/>
    <mergeCell ref="B8:H8"/>
    <mergeCell ref="B9:H9"/>
    <mergeCell ref="A15:K15"/>
    <mergeCell ref="B16:J16"/>
    <mergeCell ref="I12:J12"/>
    <mergeCell ref="B11:H11"/>
    <mergeCell ref="B10:H10"/>
    <mergeCell ref="B22:J22"/>
    <mergeCell ref="B23:J23"/>
    <mergeCell ref="B24:J24"/>
    <mergeCell ref="B25:J25"/>
    <mergeCell ref="B17:J17"/>
    <mergeCell ref="B18:J18"/>
    <mergeCell ref="B19:J19"/>
    <mergeCell ref="B20:J20"/>
    <mergeCell ref="B21:J21"/>
  </mergeCells>
  <phoneticPr fontId="1" type="noConversion"/>
  <pageMargins left="0.39000000000000007" right="0.39000000000000007" top="0.87" bottom="0.59" header="0.2" footer="0.2"/>
  <pageSetup paperSize="9" orientation="landscape" r:id="rId1"/>
  <headerFooter>
    <oddHeader>&amp;R&amp;G</oddHeader>
    <oddFooter>&amp;L&amp;8Sheet: &amp;A
File: &amp;F&amp;C&amp;8Version: 
Date: &amp;R&amp;8&amp;P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F10C-A477-4259-A7CE-CF0FB54DCB37}">
  <dimension ref="A1:A5"/>
  <sheetViews>
    <sheetView workbookViewId="0">
      <selection sqref="A1:A5"/>
    </sheetView>
  </sheetViews>
  <sheetFormatPr defaultRowHeight="12.75" x14ac:dyDescent="0.2"/>
  <sheetData>
    <row r="1" spans="1:1" x14ac:dyDescent="0.2">
      <c r="A1" s="22" t="s">
        <v>129</v>
      </c>
    </row>
    <row r="2" spans="1:1" x14ac:dyDescent="0.2">
      <c r="A2" s="23" t="s">
        <v>130</v>
      </c>
    </row>
    <row r="3" spans="1:1" x14ac:dyDescent="0.2">
      <c r="A3" s="23" t="s">
        <v>131</v>
      </c>
    </row>
    <row r="4" spans="1:1" x14ac:dyDescent="0.2">
      <c r="A4" s="23" t="s">
        <v>132</v>
      </c>
    </row>
    <row r="5" spans="1:1" x14ac:dyDescent="0.2">
      <c r="A5" s="23" t="s">
        <v>133</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I26" sqref="I26"/>
    </sheetView>
  </sheetViews>
  <sheetFormatPr defaultColWidth="8.85546875" defaultRowHeight="12.75" x14ac:dyDescent="0.2"/>
  <cols>
    <col min="1" max="1" width="21.28515625" customWidth="1"/>
    <col min="2" max="2" width="28.7109375" customWidth="1"/>
    <col min="3" max="3" width="7.140625" customWidth="1"/>
    <col min="4" max="4" width="69.42578125" customWidth="1"/>
  </cols>
  <sheetData/>
  <pageMargins left="0.39000000000000007" right="0.39000000000000007" top="0.87" bottom="0.59" header="0.2" footer="0.2"/>
  <pageSetup paperSize="9" orientation="landscape" r:id="rId1"/>
  <headerFooter>
    <oddHeader>&amp;R&amp;G</oddHeader>
    <oddFooter>&amp;L&amp;8Sheet: &amp;A
File: &amp;F&amp;C&amp;8Version: 
Date: &amp;R&amp;8&amp;P of &amp;N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C94E0163ABA5C46BDFEF9575BA81040" ma:contentTypeVersion="6" ma:contentTypeDescription="Crie um novo documento." ma:contentTypeScope="" ma:versionID="4dfe2ff040625677f1a80cd8ab5694cd">
  <xsd:schema xmlns:xsd="http://www.w3.org/2001/XMLSchema" xmlns:xs="http://www.w3.org/2001/XMLSchema" xmlns:p="http://schemas.microsoft.com/office/2006/metadata/properties" xmlns:ns2="d67dac1e-1a35-497f-a3c4-62612fec47b9" xmlns:ns3="68019632-394c-4371-9652-cb7773649742" targetNamespace="http://schemas.microsoft.com/office/2006/metadata/properties" ma:root="true" ma:fieldsID="6bb2caa51723ea068afa176e239ba487" ns2:_="" ns3:_="">
    <xsd:import namespace="d67dac1e-1a35-497f-a3c4-62612fec47b9"/>
    <xsd:import namespace="68019632-394c-4371-9652-cb77736497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7dac1e-1a35-497f-a3c4-62612fec47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019632-394c-4371-9652-cb7773649742"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1CC8433-B949-4EE6-A856-2ECCA7CBA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7dac1e-1a35-497f-a3c4-62612fec47b9"/>
    <ds:schemaRef ds:uri="68019632-394c-4371-9652-cb77736497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9C9354-E014-4E2C-AE06-D74F5E265A28}">
  <ds:schemaRefs>
    <ds:schemaRef ds:uri="http://schemas.microsoft.com/sharepoint/v3/contenttype/forms"/>
  </ds:schemaRefs>
</ds:datastoreItem>
</file>

<file path=customXml/itemProps3.xml><?xml version="1.0" encoding="utf-8"?>
<ds:datastoreItem xmlns:ds="http://schemas.openxmlformats.org/officeDocument/2006/customXml" ds:itemID="{9AAA0CAF-588F-416F-A40B-DB6B271EFDB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CIS Marking Scheme Import</vt:lpstr>
      <vt:lpstr>Planilha1</vt:lpstr>
      <vt:lpstr>Calculations</vt:lpstr>
    </vt:vector>
  </TitlesOfParts>
  <Manager/>
  <Company>WorldSkills International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Walsh</dc:creator>
  <cp:keywords/>
  <dc:description/>
  <cp:lastModifiedBy>Douglas de Cassio Quinzani Gaspar</cp:lastModifiedBy>
  <cp:revision/>
  <dcterms:created xsi:type="dcterms:W3CDTF">2010-04-27T04:25:00Z</dcterms:created>
  <dcterms:modified xsi:type="dcterms:W3CDTF">2025-05-11T23:25:22Z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0x010100CC94E0163ABA5C46BDFEF9575BA81040</vt:lpwstr>
  </property>
</Properties>
</file>