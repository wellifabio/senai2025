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ellifabio\senai2025\ds\3des\03-pdm1\aula08\"/>
    </mc:Choice>
  </mc:AlternateContent>
  <xr:revisionPtr revIDLastSave="0" documentId="13_ncr:1_{0C682332-D19F-482F-B5D1-BB6785FB9B1F}" xr6:coauthVersionLast="47" xr6:coauthVersionMax="47" xr10:uidLastSave="{00000000-0000-0000-0000-000000000000}"/>
  <bookViews>
    <workbookView xWindow="-120" yWindow="-120" windowWidth="29040" windowHeight="15720" xr2:uid="{CB4A1E4E-B4C8-4F78-B91F-0074933287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H5" i="1"/>
  <c r="H27" i="1"/>
  <c r="I27" i="1"/>
  <c r="H28" i="1"/>
  <c r="I28" i="1"/>
  <c r="H29" i="1"/>
  <c r="H30" i="1" s="1"/>
  <c r="I29" i="1"/>
  <c r="H3" i="1"/>
  <c r="H2" i="1"/>
  <c r="I2" i="1"/>
  <c r="I3" i="1"/>
  <c r="H4" i="1" s="1"/>
  <c r="H1" i="1"/>
  <c r="I1" i="1"/>
  <c r="B7" i="1"/>
  <c r="B8" i="1" s="1"/>
  <c r="I30" i="1" l="1"/>
  <c r="H31" i="1"/>
  <c r="I4" i="1"/>
  <c r="I31" i="1" l="1"/>
  <c r="H32" i="1"/>
  <c r="I5" i="1"/>
  <c r="H6" i="1" s="1"/>
  <c r="I32" i="1" l="1"/>
  <c r="H33" i="1"/>
  <c r="I6" i="1"/>
  <c r="H7" i="1" s="1"/>
  <c r="I33" i="1" l="1"/>
  <c r="H34" i="1"/>
  <c r="I7" i="1"/>
  <c r="H8" i="1" s="1"/>
  <c r="I34" i="1" l="1"/>
  <c r="H35" i="1"/>
  <c r="I8" i="1"/>
  <c r="H9" i="1" s="1"/>
  <c r="I35" i="1" l="1"/>
  <c r="H36" i="1"/>
  <c r="I9" i="1"/>
  <c r="H10" i="1" s="1"/>
  <c r="I36" i="1" l="1"/>
  <c r="H37" i="1"/>
  <c r="I10" i="1"/>
  <c r="H11" i="1" s="1"/>
  <c r="I37" i="1" l="1"/>
  <c r="H38" i="1"/>
  <c r="I11" i="1"/>
  <c r="H12" i="1"/>
  <c r="I38" i="1" l="1"/>
  <c r="H39" i="1"/>
  <c r="I12" i="1"/>
  <c r="H13" i="1"/>
  <c r="I39" i="1" l="1"/>
  <c r="H40" i="1" s="1"/>
  <c r="I13" i="1"/>
  <c r="H14" i="1"/>
  <c r="I40" i="1" l="1"/>
  <c r="H41" i="1"/>
  <c r="I14" i="1"/>
  <c r="H15" i="1"/>
  <c r="I41" i="1" l="1"/>
  <c r="H42" i="1"/>
  <c r="I15" i="1"/>
  <c r="H16" i="1"/>
  <c r="I42" i="1" l="1"/>
  <c r="H43" i="1"/>
  <c r="I16" i="1"/>
  <c r="H17" i="1" s="1"/>
  <c r="I43" i="1" l="1"/>
  <c r="H44" i="1"/>
  <c r="I17" i="1"/>
  <c r="H18" i="1" s="1"/>
  <c r="I44" i="1" l="1"/>
  <c r="H45" i="1"/>
  <c r="I18" i="1"/>
  <c r="H19" i="1" s="1"/>
  <c r="I45" i="1" l="1"/>
  <c r="H46" i="1"/>
  <c r="I19" i="1"/>
  <c r="H20" i="1" s="1"/>
  <c r="I46" i="1" l="1"/>
  <c r="H47" i="1"/>
  <c r="I20" i="1"/>
  <c r="H21" i="1" s="1"/>
  <c r="I47" i="1" l="1"/>
  <c r="H48" i="1"/>
  <c r="I21" i="1"/>
  <c r="H22" i="1"/>
  <c r="I22" i="1" l="1"/>
  <c r="H23" i="1" s="1"/>
  <c r="I23" i="1" l="1"/>
  <c r="H24" i="1"/>
  <c r="I24" i="1" l="1"/>
  <c r="H25" i="1"/>
  <c r="I25" i="1" l="1"/>
  <c r="H26" i="1"/>
  <c r="I26" i="1" s="1"/>
</calcChain>
</file>

<file path=xl/sharedStrings.xml><?xml version="1.0" encoding="utf-8"?>
<sst xmlns="http://schemas.openxmlformats.org/spreadsheetml/2006/main" count="13" uniqueCount="13">
  <si>
    <t>C</t>
  </si>
  <si>
    <t>i</t>
  </si>
  <si>
    <t>t</t>
  </si>
  <si>
    <t>M = C * (1 + i)^t</t>
  </si>
  <si>
    <t>M</t>
  </si>
  <si>
    <t>p</t>
  </si>
  <si>
    <t>outras</t>
  </si>
  <si>
    <t>Financiamentos</t>
  </si>
  <si>
    <t>Investimentos</t>
  </si>
  <si>
    <t>Mensalidade</t>
  </si>
  <si>
    <t>Mêses</t>
  </si>
  <si>
    <t>Taxa de juros</t>
  </si>
  <si>
    <t>Sem juros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</si>
</sst>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0" applyNumberFormat="1"/>
    <xf numFmtId="44" fontId="0" fillId="0" borderId="0" xfId="1" applyFont="1"/>
    <xf numFmtId="4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4069F-8676-4979-B4DA-9E99B6AF8EFE}">
  <dimension ref="A1:I48"/>
  <sheetViews>
    <sheetView tabSelected="1" topLeftCell="A13" workbookViewId="0">
      <selection activeCell="I47" sqref="I47"/>
    </sheetView>
  </sheetViews>
  <sheetFormatPr defaultRowHeight="15" x14ac:dyDescent="0.25"/>
  <cols>
    <col min="1" max="1" width="15.42578125" bestFit="1" customWidth="1"/>
    <col min="2" max="2" width="13.28515625" bestFit="1" customWidth="1"/>
    <col min="4" max="4" width="13.42578125" bestFit="1" customWidth="1"/>
    <col min="5" max="5" width="12.140625" bestFit="1" customWidth="1"/>
    <col min="7" max="7" width="3" bestFit="1" customWidth="1"/>
    <col min="8" max="8" width="13.28515625" bestFit="1" customWidth="1"/>
    <col min="9" max="9" width="10.5703125" bestFit="1" customWidth="1"/>
  </cols>
  <sheetData>
    <row r="1" spans="1:9" x14ac:dyDescent="0.25">
      <c r="A1" t="s">
        <v>7</v>
      </c>
      <c r="D1" t="s">
        <v>8</v>
      </c>
      <c r="G1">
        <v>1</v>
      </c>
      <c r="H1" s="3">
        <f>$E$2</f>
        <v>200</v>
      </c>
      <c r="I1" s="3">
        <f>H1*$E$4</f>
        <v>2</v>
      </c>
    </row>
    <row r="2" spans="1:9" x14ac:dyDescent="0.25">
      <c r="A2" t="s">
        <v>0</v>
      </c>
      <c r="B2" s="2">
        <v>50000</v>
      </c>
      <c r="D2" t="s">
        <v>9</v>
      </c>
      <c r="E2" s="2">
        <v>200</v>
      </c>
      <c r="G2">
        <v>2</v>
      </c>
      <c r="H2" s="3">
        <f>H1+I1+$E$2</f>
        <v>402</v>
      </c>
      <c r="I2" s="3">
        <f t="shared" ref="I2:I48" si="0">H2*$E$4</f>
        <v>4.0200000000000005</v>
      </c>
    </row>
    <row r="3" spans="1:9" x14ac:dyDescent="0.25">
      <c r="A3" t="s">
        <v>1</v>
      </c>
      <c r="B3" s="1">
        <v>7.4999999999999997E-3</v>
      </c>
      <c r="D3" t="s">
        <v>10</v>
      </c>
      <c r="E3">
        <v>48</v>
      </c>
      <c r="G3">
        <v>3</v>
      </c>
      <c r="H3" s="3">
        <f>H2+I2+$E$2</f>
        <v>606.02</v>
      </c>
      <c r="I3" s="3">
        <f t="shared" si="0"/>
        <v>6.0602</v>
      </c>
    </row>
    <row r="4" spans="1:9" x14ac:dyDescent="0.25">
      <c r="A4" t="s">
        <v>2</v>
      </c>
      <c r="B4">
        <v>48</v>
      </c>
      <c r="D4" t="s">
        <v>11</v>
      </c>
      <c r="E4" s="1">
        <v>0.01</v>
      </c>
      <c r="G4">
        <v>4</v>
      </c>
      <c r="H4" s="3">
        <f t="shared" ref="H3:H26" si="1">H3+I3+$E$2</f>
        <v>812.08019999999999</v>
      </c>
      <c r="I4" s="3">
        <f t="shared" si="0"/>
        <v>8.1208019999999994</v>
      </c>
    </row>
    <row r="5" spans="1:9" x14ac:dyDescent="0.25">
      <c r="A5" t="s">
        <v>6</v>
      </c>
      <c r="B5" s="2">
        <v>500</v>
      </c>
      <c r="D5" t="s">
        <v>12</v>
      </c>
      <c r="E5" s="3">
        <f>E2*E3</f>
        <v>9600</v>
      </c>
      <c r="G5">
        <v>5</v>
      </c>
      <c r="H5" s="3">
        <f>H4+I4+$E$2</f>
        <v>1020.201002</v>
      </c>
      <c r="I5" s="3">
        <f t="shared" si="0"/>
        <v>10.202010020000001</v>
      </c>
    </row>
    <row r="6" spans="1:9" x14ac:dyDescent="0.25">
      <c r="A6" t="s">
        <v>3</v>
      </c>
      <c r="G6">
        <v>6</v>
      </c>
      <c r="H6" s="3">
        <f t="shared" si="1"/>
        <v>1230.40301202</v>
      </c>
      <c r="I6" s="3">
        <f t="shared" si="0"/>
        <v>12.3040301202</v>
      </c>
    </row>
    <row r="7" spans="1:9" x14ac:dyDescent="0.25">
      <c r="A7" t="s">
        <v>4</v>
      </c>
      <c r="B7" s="2">
        <f>B2*(1+B3)^B4 + B5</f>
        <v>72070.266665685616</v>
      </c>
      <c r="G7">
        <v>7</v>
      </c>
      <c r="H7" s="3">
        <f t="shared" si="1"/>
        <v>1442.7070421402</v>
      </c>
      <c r="I7" s="3">
        <f t="shared" si="0"/>
        <v>14.427070421402</v>
      </c>
    </row>
    <row r="8" spans="1:9" x14ac:dyDescent="0.25">
      <c r="A8" t="s">
        <v>5</v>
      </c>
      <c r="B8" s="2">
        <f>B7/B4</f>
        <v>1501.4638888684503</v>
      </c>
      <c r="G8">
        <v>8</v>
      </c>
      <c r="H8" s="3">
        <f t="shared" si="1"/>
        <v>1657.134112561602</v>
      </c>
      <c r="I8" s="3">
        <f t="shared" si="0"/>
        <v>16.571341125616019</v>
      </c>
    </row>
    <row r="9" spans="1:9" x14ac:dyDescent="0.25">
      <c r="G9">
        <v>9</v>
      </c>
      <c r="H9" s="3">
        <f t="shared" si="1"/>
        <v>1873.7054536872181</v>
      </c>
      <c r="I9" s="3">
        <f t="shared" si="0"/>
        <v>18.737054536872183</v>
      </c>
    </row>
    <row r="10" spans="1:9" x14ac:dyDescent="0.25">
      <c r="G10">
        <v>10</v>
      </c>
      <c r="H10" s="3">
        <f t="shared" si="1"/>
        <v>2092.4425082240905</v>
      </c>
      <c r="I10" s="3">
        <f t="shared" si="0"/>
        <v>20.924425082240905</v>
      </c>
    </row>
    <row r="11" spans="1:9" x14ac:dyDescent="0.25">
      <c r="G11">
        <v>11</v>
      </c>
      <c r="H11" s="3">
        <f t="shared" si="1"/>
        <v>2313.3669333063312</v>
      </c>
      <c r="I11" s="3">
        <f t="shared" si="0"/>
        <v>23.133669333063313</v>
      </c>
    </row>
    <row r="12" spans="1:9" x14ac:dyDescent="0.25">
      <c r="G12">
        <v>12</v>
      </c>
      <c r="H12" s="3">
        <f t="shared" si="1"/>
        <v>2536.5006026393944</v>
      </c>
      <c r="I12" s="3">
        <f t="shared" si="0"/>
        <v>25.365006026393946</v>
      </c>
    </row>
    <row r="13" spans="1:9" x14ac:dyDescent="0.25">
      <c r="G13">
        <v>13</v>
      </c>
      <c r="H13" s="3">
        <f t="shared" si="1"/>
        <v>2761.8656086657884</v>
      </c>
      <c r="I13" s="3">
        <f t="shared" si="0"/>
        <v>27.618656086657886</v>
      </c>
    </row>
    <row r="14" spans="1:9" x14ac:dyDescent="0.25">
      <c r="G14">
        <v>14</v>
      </c>
      <c r="H14" s="3">
        <f t="shared" si="1"/>
        <v>2989.4842647524461</v>
      </c>
      <c r="I14" s="3">
        <f t="shared" si="0"/>
        <v>29.89484264752446</v>
      </c>
    </row>
    <row r="15" spans="1:9" x14ac:dyDescent="0.25">
      <c r="G15">
        <v>15</v>
      </c>
      <c r="H15" s="3">
        <f t="shared" si="1"/>
        <v>3219.3791073999705</v>
      </c>
      <c r="I15" s="3">
        <f t="shared" si="0"/>
        <v>32.193791073999705</v>
      </c>
    </row>
    <row r="16" spans="1:9" x14ac:dyDescent="0.25">
      <c r="G16">
        <v>16</v>
      </c>
      <c r="H16" s="3">
        <f t="shared" si="1"/>
        <v>3451.5728984739703</v>
      </c>
      <c r="I16" s="3">
        <f t="shared" si="0"/>
        <v>34.515728984739702</v>
      </c>
    </row>
    <row r="17" spans="7:9" x14ac:dyDescent="0.25">
      <c r="G17">
        <v>17</v>
      </c>
      <c r="H17" s="3">
        <f t="shared" si="1"/>
        <v>3686.0886274587101</v>
      </c>
      <c r="I17" s="3">
        <f t="shared" si="0"/>
        <v>36.860886274587102</v>
      </c>
    </row>
    <row r="18" spans="7:9" x14ac:dyDescent="0.25">
      <c r="G18">
        <v>18</v>
      </c>
      <c r="H18" s="3">
        <f t="shared" si="1"/>
        <v>3922.9495137332974</v>
      </c>
      <c r="I18" s="3">
        <f t="shared" si="0"/>
        <v>39.229495137332975</v>
      </c>
    </row>
    <row r="19" spans="7:9" x14ac:dyDescent="0.25">
      <c r="G19">
        <v>19</v>
      </c>
      <c r="H19" s="3">
        <f t="shared" si="1"/>
        <v>4162.1790088706302</v>
      </c>
      <c r="I19" s="3">
        <f t="shared" si="0"/>
        <v>41.621790088706305</v>
      </c>
    </row>
    <row r="20" spans="7:9" x14ac:dyDescent="0.25">
      <c r="G20">
        <v>20</v>
      </c>
      <c r="H20" s="3">
        <f t="shared" si="1"/>
        <v>4403.8007989593361</v>
      </c>
      <c r="I20" s="3">
        <f t="shared" si="0"/>
        <v>44.03800798959336</v>
      </c>
    </row>
    <row r="21" spans="7:9" x14ac:dyDescent="0.25">
      <c r="G21">
        <v>21</v>
      </c>
      <c r="H21" s="3">
        <f t="shared" si="1"/>
        <v>4647.8388069489292</v>
      </c>
      <c r="I21" s="3">
        <f t="shared" si="0"/>
        <v>46.478388069489291</v>
      </c>
    </row>
    <row r="22" spans="7:9" x14ac:dyDescent="0.25">
      <c r="G22">
        <v>22</v>
      </c>
      <c r="H22" s="3">
        <f t="shared" si="1"/>
        <v>4894.3171950184187</v>
      </c>
      <c r="I22" s="3">
        <f t="shared" si="0"/>
        <v>48.943171950184187</v>
      </c>
    </row>
    <row r="23" spans="7:9" x14ac:dyDescent="0.25">
      <c r="G23">
        <v>23</v>
      </c>
      <c r="H23" s="3">
        <f t="shared" si="1"/>
        <v>5143.2603669686032</v>
      </c>
      <c r="I23" s="3">
        <f t="shared" si="0"/>
        <v>51.432603669686031</v>
      </c>
    </row>
    <row r="24" spans="7:9" x14ac:dyDescent="0.25">
      <c r="G24">
        <v>24</v>
      </c>
      <c r="H24" s="3">
        <f t="shared" si="1"/>
        <v>5394.6929706382889</v>
      </c>
      <c r="I24" s="3">
        <f t="shared" si="0"/>
        <v>53.946929706382889</v>
      </c>
    </row>
    <row r="25" spans="7:9" x14ac:dyDescent="0.25">
      <c r="G25">
        <v>25</v>
      </c>
      <c r="H25" s="3">
        <f t="shared" si="1"/>
        <v>5648.6399003446713</v>
      </c>
      <c r="I25" s="3">
        <f t="shared" si="0"/>
        <v>56.486399003446714</v>
      </c>
    </row>
    <row r="26" spans="7:9" x14ac:dyDescent="0.25">
      <c r="G26">
        <v>26</v>
      </c>
      <c r="H26" s="3">
        <f t="shared" si="1"/>
        <v>5905.1262993481178</v>
      </c>
      <c r="I26" s="3">
        <f t="shared" si="0"/>
        <v>59.051262993481181</v>
      </c>
    </row>
    <row r="27" spans="7:9" x14ac:dyDescent="0.25">
      <c r="G27">
        <v>27</v>
      </c>
      <c r="H27" s="3">
        <f t="shared" ref="H27:H48" si="2">H26+I26+$E$2</f>
        <v>6164.1775623415988</v>
      </c>
      <c r="I27" s="3">
        <f t="shared" si="0"/>
        <v>61.641775623415988</v>
      </c>
    </row>
    <row r="28" spans="7:9" x14ac:dyDescent="0.25">
      <c r="G28">
        <v>28</v>
      </c>
      <c r="H28" s="3">
        <f t="shared" si="2"/>
        <v>6425.8193379650147</v>
      </c>
      <c r="I28" s="3">
        <f t="shared" si="0"/>
        <v>64.258193379650152</v>
      </c>
    </row>
    <row r="29" spans="7:9" x14ac:dyDescent="0.25">
      <c r="G29">
        <v>29</v>
      </c>
      <c r="H29" s="3">
        <f t="shared" si="2"/>
        <v>6690.0775313446647</v>
      </c>
      <c r="I29" s="3">
        <f t="shared" si="0"/>
        <v>66.900775313446644</v>
      </c>
    </row>
    <row r="30" spans="7:9" x14ac:dyDescent="0.25">
      <c r="G30">
        <v>30</v>
      </c>
      <c r="H30" s="3">
        <f t="shared" si="2"/>
        <v>6956.9783066581113</v>
      </c>
      <c r="I30" s="3">
        <f t="shared" si="0"/>
        <v>69.56978306658111</v>
      </c>
    </row>
    <row r="31" spans="7:9" x14ac:dyDescent="0.25">
      <c r="G31">
        <v>31</v>
      </c>
      <c r="H31" s="3">
        <f t="shared" si="2"/>
        <v>7226.5480897246925</v>
      </c>
      <c r="I31" s="3">
        <f t="shared" si="0"/>
        <v>72.265480897246931</v>
      </c>
    </row>
    <row r="32" spans="7:9" x14ac:dyDescent="0.25">
      <c r="G32">
        <v>32</v>
      </c>
      <c r="H32" s="3">
        <f t="shared" si="2"/>
        <v>7498.8135706219391</v>
      </c>
      <c r="I32" s="3">
        <f t="shared" si="0"/>
        <v>74.988135706219396</v>
      </c>
    </row>
    <row r="33" spans="7:9" x14ac:dyDescent="0.25">
      <c r="G33">
        <v>33</v>
      </c>
      <c r="H33" s="3">
        <f t="shared" si="2"/>
        <v>7773.8017063281586</v>
      </c>
      <c r="I33" s="3">
        <f t="shared" si="0"/>
        <v>77.738017063281589</v>
      </c>
    </row>
    <row r="34" spans="7:9" x14ac:dyDescent="0.25">
      <c r="G34">
        <v>34</v>
      </c>
      <c r="H34" s="3">
        <f t="shared" si="2"/>
        <v>8051.53972339144</v>
      </c>
      <c r="I34" s="3">
        <f t="shared" si="0"/>
        <v>80.515397233914399</v>
      </c>
    </row>
    <row r="35" spans="7:9" x14ac:dyDescent="0.25">
      <c r="G35">
        <v>35</v>
      </c>
      <c r="H35" s="3">
        <f t="shared" si="2"/>
        <v>8332.0551206253549</v>
      </c>
      <c r="I35" s="3">
        <f t="shared" si="0"/>
        <v>83.320551206253555</v>
      </c>
    </row>
    <row r="36" spans="7:9" x14ac:dyDescent="0.25">
      <c r="G36">
        <v>36</v>
      </c>
      <c r="H36" s="3">
        <f t="shared" si="2"/>
        <v>8615.375671831609</v>
      </c>
      <c r="I36" s="3">
        <f t="shared" si="0"/>
        <v>86.153756718316089</v>
      </c>
    </row>
    <row r="37" spans="7:9" x14ac:dyDescent="0.25">
      <c r="G37">
        <v>37</v>
      </c>
      <c r="H37" s="3">
        <f t="shared" si="2"/>
        <v>8901.5294285499258</v>
      </c>
      <c r="I37" s="3">
        <f t="shared" si="0"/>
        <v>89.015294285499266</v>
      </c>
    </row>
    <row r="38" spans="7:9" x14ac:dyDescent="0.25">
      <c r="G38">
        <v>38</v>
      </c>
      <c r="H38" s="3">
        <f t="shared" si="2"/>
        <v>9190.5447228354242</v>
      </c>
      <c r="I38" s="3">
        <f t="shared" si="0"/>
        <v>91.905447228354248</v>
      </c>
    </row>
    <row r="39" spans="7:9" x14ac:dyDescent="0.25">
      <c r="G39">
        <v>39</v>
      </c>
      <c r="H39" s="3">
        <f t="shared" si="2"/>
        <v>9482.4501700637793</v>
      </c>
      <c r="I39" s="3">
        <f t="shared" si="0"/>
        <v>94.824501700637796</v>
      </c>
    </row>
    <row r="40" spans="7:9" x14ac:dyDescent="0.25">
      <c r="G40">
        <v>40</v>
      </c>
      <c r="H40" s="3">
        <f t="shared" si="2"/>
        <v>9777.2746717644168</v>
      </c>
      <c r="I40" s="3">
        <f t="shared" si="0"/>
        <v>97.772746717644168</v>
      </c>
    </row>
    <row r="41" spans="7:9" x14ac:dyDescent="0.25">
      <c r="G41">
        <v>41</v>
      </c>
      <c r="H41" s="3">
        <f t="shared" si="2"/>
        <v>10075.047418482061</v>
      </c>
      <c r="I41" s="3">
        <f t="shared" si="0"/>
        <v>100.75047418482062</v>
      </c>
    </row>
    <row r="42" spans="7:9" x14ac:dyDescent="0.25">
      <c r="G42">
        <v>42</v>
      </c>
      <c r="H42" s="3">
        <f t="shared" si="2"/>
        <v>10375.797892666882</v>
      </c>
      <c r="I42" s="3">
        <f t="shared" si="0"/>
        <v>103.75797892666883</v>
      </c>
    </row>
    <row r="43" spans="7:9" x14ac:dyDescent="0.25">
      <c r="G43">
        <v>43</v>
      </c>
      <c r="H43" s="3">
        <f t="shared" si="2"/>
        <v>10679.555871593551</v>
      </c>
      <c r="I43" s="3">
        <f t="shared" si="0"/>
        <v>106.79555871593551</v>
      </c>
    </row>
    <row r="44" spans="7:9" x14ac:dyDescent="0.25">
      <c r="G44">
        <v>44</v>
      </c>
      <c r="H44" s="3">
        <f t="shared" si="2"/>
        <v>10986.351430309487</v>
      </c>
      <c r="I44" s="3">
        <f t="shared" si="0"/>
        <v>109.86351430309487</v>
      </c>
    </row>
    <row r="45" spans="7:9" x14ac:dyDescent="0.25">
      <c r="G45">
        <v>45</v>
      </c>
      <c r="H45" s="3">
        <f t="shared" si="2"/>
        <v>11296.214944612582</v>
      </c>
      <c r="I45" s="3">
        <f t="shared" si="0"/>
        <v>112.96214944612582</v>
      </c>
    </row>
    <row r="46" spans="7:9" x14ac:dyDescent="0.25">
      <c r="G46">
        <v>46</v>
      </c>
      <c r="H46" s="3">
        <f t="shared" si="2"/>
        <v>11609.177094058708</v>
      </c>
      <c r="I46" s="3">
        <f t="shared" si="0"/>
        <v>116.09177094058708</v>
      </c>
    </row>
    <row r="47" spans="7:9" x14ac:dyDescent="0.25">
      <c r="G47">
        <v>47</v>
      </c>
      <c r="H47" s="3">
        <f t="shared" si="2"/>
        <v>11925.268864999296</v>
      </c>
      <c r="I47" s="3">
        <f t="shared" si="0"/>
        <v>119.25268864999296</v>
      </c>
    </row>
    <row r="48" spans="7:9" x14ac:dyDescent="0.25">
      <c r="G48">
        <v>48</v>
      </c>
      <c r="H48" s="3">
        <f t="shared" si="2"/>
        <v>12244.521553649289</v>
      </c>
      <c r="I4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WELLINGTON FABIO DE OLIVEIRA MARTINS</dc:creator>
  <cp:lastModifiedBy>WELLINGTON FABIO DE OLIVEIRA MARTINS</cp:lastModifiedBy>
  <dcterms:created xsi:type="dcterms:W3CDTF">2025-05-20T16:48:08Z</dcterms:created>
  <dcterms:modified xsi:type="dcterms:W3CDTF">2025-05-20T20:05:06Z</dcterms:modified>
</cp:coreProperties>
</file>